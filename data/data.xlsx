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Users/kaitlynwatkins/Desktop/"/>
    </mc:Choice>
  </mc:AlternateContent>
  <xr:revisionPtr revIDLastSave="0" documentId="8_{30EB3F9D-F03A-4815-B250-5C8927BBD5E4}" xr6:coauthVersionLast="47" xr6:coauthVersionMax="47" xr10:uidLastSave="{00000000-0000-0000-0000-000000000000}"/>
  <bookViews>
    <workbookView xWindow="0" yWindow="0" windowWidth="28800" windowHeight="18000" xr2:uid="{00000000-000D-0000-FFFF-FFFF00000000}"/>
  </bookViews>
  <sheets>
    <sheet name="Publication" sheetId="10" r:id="rId1"/>
    <sheet name="Clinical" sheetId="9" r:id="rId2"/>
    <sheet name="Molecular" sheetId="7" r:id="rId3"/>
    <sheet name="Master list hg38"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2" i="4" l="1"/>
  <c r="R42" i="4"/>
</calcChain>
</file>

<file path=xl/sharedStrings.xml><?xml version="1.0" encoding="utf-8"?>
<sst xmlns="http://schemas.openxmlformats.org/spreadsheetml/2006/main" count="1910" uniqueCount="796">
  <si>
    <t>Item name</t>
  </si>
  <si>
    <t>Pubmed link</t>
  </si>
  <si>
    <t>Authors</t>
  </si>
  <si>
    <t>AKA</t>
  </si>
  <si>
    <t>Pedigree</t>
  </si>
  <si>
    <t>ADLD_dup_1</t>
  </si>
  <si>
    <t>10.1002/humu.22348, 10.1007/s10048-010-0269-y</t>
  </si>
  <si>
    <t>Giorgio 2013, Meijer 2001</t>
  </si>
  <si>
    <t>A1</t>
  </si>
  <si>
    <t>10.1001/archneur.65.11.1496</t>
  </si>
  <si>
    <t>ADLD_dup_2</t>
  </si>
  <si>
    <t>10.1002/humu.22348, 10.1007/s10048-010-0269-y, PMC8133955, 10.3174/ajnr.A1354, 10.1002/ajmg.b.30342, 10.1002/ana.24452</t>
  </si>
  <si>
    <t>Giorgio 2013, Schuster 2011, Melberg 2006, Sundbloom 2008, Marklund 2006, Finnsson 2015</t>
  </si>
  <si>
    <t>SE1, A2</t>
  </si>
  <si>
    <t>10.1007/s10048-010-0269-y</t>
  </si>
  <si>
    <t>ADLD_dup_3</t>
  </si>
  <si>
    <t>10.1002/humu.22348, 10.1007/s10048-010-0269-y, PMC8133955, 10.3174/ajnr.A1354, 10.1002/ana.24452</t>
  </si>
  <si>
    <t>Giorgio 2013, Schuster 2011, Melberg 2006, Sundbloom 2008, Finnsson 2015</t>
  </si>
  <si>
    <t>SE2, A3</t>
  </si>
  <si>
    <t>ADLD_dup_4</t>
  </si>
  <si>
    <t>10.1002/humu.22348, 10.1002/mds.24064</t>
  </si>
  <si>
    <t>Giorgio 2013, Fogel 2012</t>
  </si>
  <si>
    <t>A4</t>
  </si>
  <si>
    <t>ADLD_dup_5</t>
  </si>
  <si>
    <t>10.1002/humu.22348</t>
  </si>
  <si>
    <t>Giorgio 2013</t>
  </si>
  <si>
    <t>A5</t>
  </si>
  <si>
    <t>ADLD_dup_6</t>
  </si>
  <si>
    <t>A6, A7, K2-3</t>
  </si>
  <si>
    <t>ADLD_dup_7</t>
  </si>
  <si>
    <t>A8, AV1</t>
  </si>
  <si>
    <t>ADLD_dup_8</t>
  </si>
  <si>
    <t>Giorgio 2013, Schuster 2011</t>
  </si>
  <si>
    <t>IL, A10</t>
  </si>
  <si>
    <t>ADLD_dup_9</t>
  </si>
  <si>
    <t>DE, A11</t>
  </si>
  <si>
    <t>ADLD_dup_10</t>
  </si>
  <si>
    <t>A14</t>
  </si>
  <si>
    <t>ADLD_dup_11</t>
  </si>
  <si>
    <t>ADLD_dup_12</t>
  </si>
  <si>
    <t>ADLD_dup_13</t>
  </si>
  <si>
    <t>ADLD_dup_14</t>
  </si>
  <si>
    <t>LN_dup_1</t>
  </si>
  <si>
    <t>ADLD_del_1</t>
  </si>
  <si>
    <t>https://doi.org/10.1212/NXG.0000000000000305</t>
  </si>
  <si>
    <t>Nmezi 2019</t>
  </si>
  <si>
    <t>DEL3-1, DEL3-2, DEL3-3</t>
  </si>
  <si>
    <t>ADLD_del_2</t>
  </si>
  <si>
    <t>https://doi.org/10.1212/NXG.0000000000000305, 10.1097/NEN.0000000000000008</t>
  </si>
  <si>
    <t>Nmezi 2019, Alturkustani 2013</t>
  </si>
  <si>
    <t>DEL2-1</t>
  </si>
  <si>
    <t>ADLD_del_3</t>
  </si>
  <si>
    <t>10.1002/humu.22348, 10.1001/archneur.65.11.1496</t>
  </si>
  <si>
    <t>ADLD_invdup_1</t>
  </si>
  <si>
    <t>BR1</t>
  </si>
  <si>
    <t>LN_dup_5</t>
  </si>
  <si>
    <t>ADLD_del_5</t>
  </si>
  <si>
    <t>DEL1-1</t>
  </si>
  <si>
    <t>ADLD_dup_15</t>
  </si>
  <si>
    <t>ADLD_dup_16</t>
  </si>
  <si>
    <t>10.1038/ng1873, PMID: 8958750</t>
  </si>
  <si>
    <t>Padiath 2006, Asahara 1996</t>
  </si>
  <si>
    <t>K50069</t>
  </si>
  <si>
    <t>ADLD_dup_17</t>
  </si>
  <si>
    <t>ADLD_dup_18</t>
  </si>
  <si>
    <t>10.1002/humu.22348, 10.1016/j.autneu.2010.07.011</t>
  </si>
  <si>
    <t>Giorgio 2013, Guaraldi 2011</t>
  </si>
  <si>
    <t>IT3</t>
  </si>
  <si>
    <t>10.1038/ng1872</t>
  </si>
  <si>
    <t>ADLD_dup_19</t>
  </si>
  <si>
    <t>FR1, FR2</t>
  </si>
  <si>
    <t>ADLD_dup_20</t>
  </si>
  <si>
    <t>10.1002/humu.22348, 10.1007/s00415-011-6225-4</t>
  </si>
  <si>
    <t>Giorgio 2013, Dos Santos 2011</t>
  </si>
  <si>
    <t>G1</t>
  </si>
  <si>
    <t>ADLD_dup_21</t>
  </si>
  <si>
    <t>10.1002/humu.22348, 10.1111/j.1468-1331.2009.02536.x</t>
  </si>
  <si>
    <t>Giorgio 2013, Brussino 2008</t>
  </si>
  <si>
    <t>IT1</t>
  </si>
  <si>
    <t>ADLD_dup_22</t>
  </si>
  <si>
    <t>IT2</t>
  </si>
  <si>
    <t>10.1007/s00415-011-6225-4</t>
  </si>
  <si>
    <t>ADLD_dup_23</t>
  </si>
  <si>
    <t>10.1016/j.bbadis.2012.12.006 10.1093/hmg/ddv034</t>
  </si>
  <si>
    <t>10.1111/j.1468-1331.2009.02536.x</t>
  </si>
  <si>
    <t>ADLD_dup_24</t>
  </si>
  <si>
    <t>ADLD_dup_25</t>
  </si>
  <si>
    <t>10.1212/NXG.0000000000200261</t>
  </si>
  <si>
    <t>Wang 2025</t>
  </si>
  <si>
    <t>ADLD_dup_26</t>
  </si>
  <si>
    <t>ADLD_dup_27</t>
  </si>
  <si>
    <t>10.1038/ng1872, https://doi.org/10.1093/hmg/9.5.787</t>
  </si>
  <si>
    <t>Padiath 2006, Coffeen 2000</t>
  </si>
  <si>
    <t>K2685, K50069</t>
  </si>
  <si>
    <t>ADLD_dup_28</t>
  </si>
  <si>
    <t>ADLD_dup_29</t>
  </si>
  <si>
    <t>10.3389/fnins.2019.01030</t>
  </si>
  <si>
    <t>Origin</t>
  </si>
  <si>
    <t xml:space="preserve">Number of Individuals Affected </t>
  </si>
  <si>
    <t>Age of Onset (years)</t>
  </si>
  <si>
    <t>Reported Symptoms</t>
  </si>
  <si>
    <t>Canada</t>
  </si>
  <si>
    <t>Bladder/bowel disturbances, lower limb weakness, orthostatic hypotenstion, impotence, decreased sweating, temperature dysregulation, Ataxia, MRI showing leukodystrophy, Lower limb hyperreflexia with occasional upper limb involvement</t>
  </si>
  <si>
    <t>Sweden</t>
  </si>
  <si>
    <t>Bladder symptoms, constipation, postural hypotention, erectile dysfunction , pyramidal signs, Ataxia, NCS: Normal, SEP:Normal: , MRI showing leukodystrophy</t>
  </si>
  <si>
    <t xml:space="preserve">Bladder symptoms, constipation, postural hypotention, dry skin, pyramidal signs, Ataxia, VEP: Normal, NCS: Normal, SEP: Pathological , MRI showing leukodystrophy, Increased symptoms with infection </t>
  </si>
  <si>
    <t>India</t>
  </si>
  <si>
    <t>Ataxia</t>
  </si>
  <si>
    <t>USA</t>
  </si>
  <si>
    <t/>
  </si>
  <si>
    <t>Isreal</t>
  </si>
  <si>
    <t>54, 50</t>
  </si>
  <si>
    <t>Bladder symptoms, constipation, erectile dysfunction, pyramidal signs, Ataxia, MMT: 23, Distal sensory loss clinically, NCS: Normal, MRI showing leukodystrophy, Postural tremor, perkinsonism, levodopa responsive</t>
  </si>
  <si>
    <t>Germany</t>
  </si>
  <si>
    <t>53, 58</t>
  </si>
  <si>
    <t>Bladder symptoms, postural hypotension, heat intolerance, fecal incontinnence, pyramidal signs, Ataxia, MMT: 24, 26, NCS: Normal, MRI showing leukodystrophy</t>
  </si>
  <si>
    <t>34, 33</t>
  </si>
  <si>
    <t>Late urinary urgency, dysarthria, speech apraxia and dysphafia, MRI showing leukodystrophy, Asymmetrical spastic weakness of upper and lower extremities, decreased dexterity upper limb spasticity, dyspnea likely from neuromuscular weakness, neurological defects reported to be worsened by environmental heat</t>
  </si>
  <si>
    <t>urinary urgency and incontinence, Ataxia, MRI showing leukodystrophy, slowly progressive spasticity of lower limbs, fine motor difficulty, fine end point nystagmus on left and right lateral gaze, leg cramps, Snout reflex</t>
  </si>
  <si>
    <t>Brazil</t>
  </si>
  <si>
    <t>Early orthostatix intolerance, urinary urgency, Ataxia, soft "breathy" and halting voice and dysphagia, MRI showing leukodystrophy, hand tremor, voice difficulties, neurological deficits worsened with respiratory infection</t>
  </si>
  <si>
    <t>present, Ataxia, MRI showing leukodystrophy, hyperflexia</t>
  </si>
  <si>
    <t>Italy</t>
  </si>
  <si>
    <t>urinary urgency, ejaculatory failure, orthostatic intolerance, selective noradreneric failure, isolated cardiovascular sympathetic impairment, pyramidal signs, Ataxia, MRI showing leukodystrophy</t>
  </si>
  <si>
    <t>France</t>
  </si>
  <si>
    <t>Micturition problems with imperative strangury , pyramidal signs, Ataxia, below average results regarding verbal fluency and flexibility, verbal recall, working memory, executive functiions, and general working velocity, MRI showing leukodystrophy, symmetrical appendicular ataxia, mild spastic paraparesis, brisk deep tendon reflexes, and bilaterally positive Babinski signs</t>
  </si>
  <si>
    <t xml:space="preserve">35, 45 </t>
  </si>
  <si>
    <t xml:space="preserve">uriinary retention, fecal incontinence, impotence, pyramidal signs, Ataxia, deficit in frontal functions, dysphagia, dysarthria, MRI showing leukodystrophy, spastic crying and laughing, acute motor axonal neuropathy, </t>
  </si>
  <si>
    <t>constipation, pyramidal signs, MRI showing leukodystrophy, Hypertension, benign prostate hyperplasia, right shoulder and neck stiffness, intermittent facial paresthesia, insomnia, belching symptoms, muscle spasms, stiffness in movement, difficulty of relaxaation of the anal sphincter, REM sleep disorder, brisk deep tendon reflexes and increased tone</t>
  </si>
  <si>
    <t>Irish-American</t>
  </si>
  <si>
    <t>46 (two families)</t>
  </si>
  <si>
    <t>40.5 ± 4.9</t>
  </si>
  <si>
    <t>bowel/bladder dysfunction, impotence, orthostatic hypotention, decreased sweating, pyramidal signs, Ataxia, MRI showing leukodystrophy, spastic paralysis, posterior column dysfunction, Babinski signs</t>
  </si>
  <si>
    <t>Chr</t>
  </si>
  <si>
    <t>Start position</t>
  </si>
  <si>
    <t>End position</t>
  </si>
  <si>
    <t>Size (bp)</t>
  </si>
  <si>
    <t>Orientation</t>
  </si>
  <si>
    <t>Microhomology</t>
  </si>
  <si>
    <t>chr5</t>
  </si>
  <si>
    <t>Tandem</t>
  </si>
  <si>
    <t>Insertion of "GCAC"</t>
  </si>
  <si>
    <t>Microhomology of "T"</t>
  </si>
  <si>
    <t>AC homology, A deleted and T substituted with C</t>
  </si>
  <si>
    <t>GTGTTAGCCAGGATGGTCT, 19 bp Homology of AluY element</t>
  </si>
  <si>
    <t>AAGGGA homolgy</t>
  </si>
  <si>
    <t>169456; 13656</t>
  </si>
  <si>
    <t xml:space="preserve">Tandem </t>
  </si>
  <si>
    <t>Microhomology of "CT", 146 bp Homology of LINE element</t>
  </si>
  <si>
    <t>AC homology</t>
  </si>
  <si>
    <t>Insertion of CTAGTG</t>
  </si>
  <si>
    <t>GG homology</t>
  </si>
  <si>
    <t>Microhomolgy of GA</t>
  </si>
  <si>
    <t>n/a</t>
  </si>
  <si>
    <t xml:space="preserve">10bp LINE homology at centromeric repeat, LINE (LIMC5 telomeric repeat, no microhomoly at junction </t>
  </si>
  <si>
    <t>AluSg7 centromeric repeat, AluSP telomeric repear, 26bo junction microhomology</t>
  </si>
  <si>
    <t>Inverted</t>
  </si>
  <si>
    <t>Complex</t>
  </si>
  <si>
    <t>Alujr centromeric repeat, AluSP telomeric repeat, no microhomology at junctions</t>
  </si>
  <si>
    <t>AluJb repeat ~600 bp from the N1-C1 junction region, duplication junction at centromeric end fell within simple tandem repeat ACAAAGTACCTTCTTAAGGGTGGGGGAGAATATT repeated 10.7x</t>
  </si>
  <si>
    <t>Insertion of "ATGTTTGTATTT"</t>
  </si>
  <si>
    <t>Insertion of TAGCTAAGTTA</t>
  </si>
  <si>
    <t>Microhomolgy of "CAG"</t>
  </si>
  <si>
    <t>Microhomoly of "AA"</t>
  </si>
  <si>
    <t xml:space="preserve">Microhomolygy of "GCTG" </t>
  </si>
  <si>
    <t>AluY repeat ~60 bp from N1-C1 junction</t>
  </si>
  <si>
    <t>UCSC name</t>
  </si>
  <si>
    <t>Unique clusters</t>
  </si>
  <si>
    <t>Fam/Array #</t>
  </si>
  <si>
    <t>K #</t>
  </si>
  <si>
    <t>Patient ID#</t>
  </si>
  <si>
    <t>AKA #</t>
  </si>
  <si>
    <t>CNV type (Del or dup)</t>
  </si>
  <si>
    <t>Detection method</t>
  </si>
  <si>
    <t>Exact Junc Id? (Y/N)</t>
  </si>
  <si>
    <t>CNV size</t>
  </si>
  <si>
    <t>Junc start/Tel end hg38</t>
  </si>
  <si>
    <t>Junc end/Cent end hg38</t>
  </si>
  <si>
    <t>Last non dup probe hg19</t>
  </si>
  <si>
    <t>First dup probe hg19</t>
  </si>
  <si>
    <t>Last dup probe hg19</t>
  </si>
  <si>
    <t>First Non dup probe hg19</t>
  </si>
  <si>
    <t>aCGH duplication</t>
  </si>
  <si>
    <t>Breakpoint feature/Microhomology</t>
  </si>
  <si>
    <t>ADLD Status</t>
  </si>
  <si>
    <t>Publication</t>
  </si>
  <si>
    <t>DOI</t>
  </si>
  <si>
    <t># of Affected</t>
  </si>
  <si>
    <t># of samples</t>
  </si>
  <si>
    <t>Pedigree available?</t>
  </si>
  <si>
    <t>Tissue</t>
  </si>
  <si>
    <t>Measured ng/uL</t>
  </si>
  <si>
    <t>260/280</t>
  </si>
  <si>
    <t>Comments</t>
  </si>
  <si>
    <t>Missing significant amount of info</t>
  </si>
  <si>
    <t>Triplication - involve only the dup containing LMNB1</t>
  </si>
  <si>
    <t>Exact junction NOT FOUND</t>
  </si>
  <si>
    <t>Missing ADLD status</t>
  </si>
  <si>
    <t>Poor DNA quality</t>
  </si>
  <si>
    <t>Organized based on original A number, then random</t>
  </si>
  <si>
    <t>LMNB1_dup_1</t>
  </si>
  <si>
    <t>R17697</t>
  </si>
  <si>
    <t>Duplication</t>
  </si>
  <si>
    <t>acGH, QT-PCR, or MLPA</t>
  </si>
  <si>
    <t>Yes</t>
  </si>
  <si>
    <t>126002889 (rep seq)</t>
  </si>
  <si>
    <t>(rep seq) 126003587</t>
  </si>
  <si>
    <t>-</t>
  </si>
  <si>
    <t>ADLD</t>
  </si>
  <si>
    <t>Giorgio, et al 2013, Schuster et al. 2011</t>
  </si>
  <si>
    <t>10.1002/humu.22349, 10.1007/s10048-010-0269-y</t>
  </si>
  <si>
    <t>Giorgio:2, Meijer: 8</t>
  </si>
  <si>
    <t>Yes, Meijer et al. 2008</t>
  </si>
  <si>
    <t>17699</t>
  </si>
  <si>
    <t>CA2</t>
  </si>
  <si>
    <t>Affected</t>
  </si>
  <si>
    <t>No CNV</t>
  </si>
  <si>
    <t>N/A</t>
  </si>
  <si>
    <t>Unaffected spouse</t>
  </si>
  <si>
    <t>Unaffected</t>
  </si>
  <si>
    <t>LMNB1_dup_2</t>
  </si>
  <si>
    <t>A2</t>
  </si>
  <si>
    <t>1-2</t>
  </si>
  <si>
    <t>S16933</t>
  </si>
  <si>
    <t>One of these is the large family is also published in Marklund</t>
  </si>
  <si>
    <t>Giorgio: 2, Schuster: 1</t>
  </si>
  <si>
    <t>Yes, Schuster et al. 2011</t>
  </si>
  <si>
    <t>Male; Finnsson et al. 2015 studied clinical and radiological course for these families</t>
  </si>
  <si>
    <t>SE1</t>
  </si>
  <si>
    <t>Female; Finnsson et al. 2015 studied clinical and radiological course for these families</t>
  </si>
  <si>
    <t>LMNB1_dup_3</t>
  </si>
  <si>
    <t>A3</t>
  </si>
  <si>
    <t>1-3</t>
  </si>
  <si>
    <t>S20677</t>
  </si>
  <si>
    <t>Giorgio, et al 2013, Schuster et al. 2011, Finnsson et al. 2015, Melberg et al. 2006, Sundbloom et al. 2009</t>
  </si>
  <si>
    <t>10.1002/humu.22348, 10.1007/s10048-010-0269-y, PMC8133955, 10.3174/ajnr.A1354</t>
  </si>
  <si>
    <t>SE2</t>
  </si>
  <si>
    <t>Male; Not entirely certain if this is A3 family</t>
  </si>
  <si>
    <t>LMNB1_dup_4</t>
  </si>
  <si>
    <t>K12-26</t>
  </si>
  <si>
    <t>S1</t>
  </si>
  <si>
    <t>18H-500</t>
  </si>
  <si>
    <t>AluY-AluY-at both ends- high degree of homology</t>
  </si>
  <si>
    <t>Giorgio, et al 2013, Fogel et al. 2012</t>
  </si>
  <si>
    <t>10.1002/humu.22351, 10.1002/mds.24064</t>
  </si>
  <si>
    <t>Same duplication as A4. May be from same family.</t>
  </si>
  <si>
    <t>K13-27</t>
  </si>
  <si>
    <t>GTGTTAGCCAGGATGGTCT, 19 bp Homology of AluY element?</t>
  </si>
  <si>
    <t>Blood</t>
  </si>
  <si>
    <t>Same as family A4. Low concentration from original blood gDNA</t>
  </si>
  <si>
    <t>K16#38</t>
  </si>
  <si>
    <t>Duplication?</t>
  </si>
  <si>
    <t>Saliva</t>
  </si>
  <si>
    <t>Not entirely certain if this is A4 family</t>
  </si>
  <si>
    <t>K16#40</t>
  </si>
  <si>
    <t>K16#41</t>
  </si>
  <si>
    <t>BF4</t>
  </si>
  <si>
    <t>Brent Fogel, UCLA; same as A4 family</t>
  </si>
  <si>
    <t>ADLD, Affected</t>
  </si>
  <si>
    <t>Male</t>
  </si>
  <si>
    <t>LD348-1</t>
  </si>
  <si>
    <t>Adeline Vandever, Children's National</t>
  </si>
  <si>
    <t>LD-348.02</t>
  </si>
  <si>
    <t>LD348.04</t>
  </si>
  <si>
    <t>A8</t>
  </si>
  <si>
    <t>LD0068</t>
  </si>
  <si>
    <t>UNKNOWN</t>
  </si>
  <si>
    <t>Unknown, TUBB4A</t>
  </si>
  <si>
    <t>Female</t>
  </si>
  <si>
    <t>390.0B</t>
  </si>
  <si>
    <t>Affected, TUBB4A</t>
  </si>
  <si>
    <t>390.0A</t>
  </si>
  <si>
    <t>Unaffected, TUBB4A</t>
  </si>
  <si>
    <t>Male, Father</t>
  </si>
  <si>
    <t>same as A4</t>
  </si>
  <si>
    <t>K16-55</t>
  </si>
  <si>
    <t>TX, USA</t>
  </si>
  <si>
    <t>No</t>
  </si>
  <si>
    <t>More severe phenotype? Bad DNA. Need to reobtain,  M</t>
  </si>
  <si>
    <t>K16-56</t>
  </si>
  <si>
    <t>"T.S."</t>
  </si>
  <si>
    <t>Unaffected? Need to double check</t>
  </si>
  <si>
    <t>K20-52 - to receive+redo seq</t>
  </si>
  <si>
    <t>"H.B."</t>
  </si>
  <si>
    <t>NY, USA</t>
  </si>
  <si>
    <t>Probably same as K12/K13/K16</t>
  </si>
  <si>
    <t>LMNB1_dup_5</t>
  </si>
  <si>
    <t>US1</t>
  </si>
  <si>
    <t>UDP_1173</t>
  </si>
  <si>
    <t>2-1</t>
  </si>
  <si>
    <t>S2</t>
  </si>
  <si>
    <t>Giorgio, et al 2013</t>
  </si>
  <si>
    <t>10.1002/humu.22352</t>
  </si>
  <si>
    <t>LMNB1_dup_6</t>
  </si>
  <si>
    <t>6 merge 3?</t>
  </si>
  <si>
    <t>A6</t>
  </si>
  <si>
    <t>K2-3</t>
  </si>
  <si>
    <t>Triplication</t>
  </si>
  <si>
    <t>169456; 13456</t>
  </si>
  <si>
    <t>126761184; 126908791</t>
  </si>
  <si>
    <t>126930640; 126908791</t>
  </si>
  <si>
    <t>10.1002/humu.22353</t>
  </si>
  <si>
    <t>Direct tandem Orientation with Triplication</t>
  </si>
  <si>
    <t>K2</t>
  </si>
  <si>
    <t>169456; 13458</t>
  </si>
  <si>
    <t>126761184; 126895137</t>
  </si>
  <si>
    <t>126930640; 126908793</t>
  </si>
  <si>
    <t>10.1002/humu.22355</t>
  </si>
  <si>
    <t>Are these the same as K6#9?</t>
  </si>
  <si>
    <t>where does this come from?</t>
  </si>
  <si>
    <t>K3</t>
  </si>
  <si>
    <t>169456; 13459</t>
  </si>
  <si>
    <t>126761184; 126895138</t>
  </si>
  <si>
    <t>126930640; 126908794</t>
  </si>
  <si>
    <t>10.1002/humu.22356</t>
  </si>
  <si>
    <t>LMNB1_dup_7</t>
  </si>
  <si>
    <t>none</t>
  </si>
  <si>
    <t>A7</t>
  </si>
  <si>
    <t>Triplication?</t>
  </si>
  <si>
    <t>169456, 13457</t>
  </si>
  <si>
    <t>126096876; 126230828</t>
  </si>
  <si>
    <t>126266332; 126244484</t>
  </si>
  <si>
    <t>10.1002/humu.22354</t>
  </si>
  <si>
    <t>LMNB1_dup_8</t>
  </si>
  <si>
    <t>A6b</t>
  </si>
  <si>
    <t>S3</t>
  </si>
  <si>
    <t>Homology of 146 bases in LINE element LIP3A3 Family L1</t>
  </si>
  <si>
    <t>A26</t>
  </si>
  <si>
    <t>K6#9</t>
  </si>
  <si>
    <t>S4; 1_4</t>
  </si>
  <si>
    <t>CT</t>
  </si>
  <si>
    <t>Brain</t>
  </si>
  <si>
    <t>Passed away 2022, alzheimers-like symptoms. Sent for ApoE4 genotyping Sept 2022.</t>
  </si>
  <si>
    <t>S3; 1_4</t>
  </si>
  <si>
    <t>LMNB1_dup_9</t>
  </si>
  <si>
    <t>10.1002/humu.22357</t>
  </si>
  <si>
    <t>A27, A8, AV1</t>
  </si>
  <si>
    <t>K7#10</t>
  </si>
  <si>
    <t>S5; 2_1</t>
  </si>
  <si>
    <t>Microhomology of "AC"</t>
  </si>
  <si>
    <t>LMNB1_dup_10</t>
  </si>
  <si>
    <t>A10</t>
  </si>
  <si>
    <t>1-2; 1ARF</t>
  </si>
  <si>
    <t>Giorgio: 1, Schuster: 1</t>
  </si>
  <si>
    <t>LMNB1_dup_11</t>
  </si>
  <si>
    <t>A11</t>
  </si>
  <si>
    <t>1-3; 7153</t>
  </si>
  <si>
    <t>DE1</t>
  </si>
  <si>
    <t>DEI</t>
  </si>
  <si>
    <t>LMNB1_dup_12</t>
  </si>
  <si>
    <t>S6</t>
  </si>
  <si>
    <t>2_2; S23</t>
  </si>
  <si>
    <t>10.1002/humu.22361</t>
  </si>
  <si>
    <t>Missing second family member?</t>
  </si>
  <si>
    <t>this duplication is the same as 3855 and 3856</t>
  </si>
  <si>
    <t>BF3</t>
  </si>
  <si>
    <t>3856; Brent Fogel, UCLA</t>
  </si>
  <si>
    <t>Family 2546</t>
  </si>
  <si>
    <t>BF1</t>
  </si>
  <si>
    <t>3855; Brent Fogel, UCLA</t>
  </si>
  <si>
    <t>BF2</t>
  </si>
  <si>
    <t>A00057; Brent Fogel, UCLA</t>
  </si>
  <si>
    <t>Brent Fogel, UCLA</t>
  </si>
  <si>
    <t>LOOK INTO - DON’T KNOW WHERE ITS FROM</t>
  </si>
  <si>
    <t>A00058</t>
  </si>
  <si>
    <t>LMNB1_dup_13</t>
  </si>
  <si>
    <t>A17</t>
  </si>
  <si>
    <t>S1; 1_1</t>
  </si>
  <si>
    <t>S17967</t>
  </si>
  <si>
    <t>LMNB1_dup_14</t>
  </si>
  <si>
    <t>A18</t>
  </si>
  <si>
    <t>LM-#2</t>
  </si>
  <si>
    <t>1_2</t>
  </si>
  <si>
    <t>CTGAG</t>
  </si>
  <si>
    <t>A19</t>
  </si>
  <si>
    <t>LD-#3</t>
  </si>
  <si>
    <t>S3; 1-3</t>
  </si>
  <si>
    <t>LMNB1_dup_15</t>
  </si>
  <si>
    <t>A20</t>
  </si>
  <si>
    <t>K4-#5</t>
  </si>
  <si>
    <t>aCGH</t>
  </si>
  <si>
    <t>Microhomology of "C"</t>
  </si>
  <si>
    <t>?</t>
  </si>
  <si>
    <t>K21-54</t>
  </si>
  <si>
    <t>"C.L."; 1_3</t>
  </si>
  <si>
    <t>CA, USA</t>
  </si>
  <si>
    <t>Short read or long read NGS 12/9/2025</t>
  </si>
  <si>
    <t>Cousin of K21-53, aCGH data bad</t>
  </si>
  <si>
    <t>K22-57</t>
  </si>
  <si>
    <t>"E.L."; 2_1</t>
  </si>
  <si>
    <t>MI, USA</t>
  </si>
  <si>
    <t>F, aCGH data bad</t>
  </si>
  <si>
    <t>LMNB1_dup_16</t>
  </si>
  <si>
    <t>A21</t>
  </si>
  <si>
    <t>S2; 1_1</t>
  </si>
  <si>
    <t>S2; K5#6 (redo)</t>
  </si>
  <si>
    <t>1_1</t>
  </si>
  <si>
    <t>K5-#17</t>
  </si>
  <si>
    <t>S6; 2-2</t>
  </si>
  <si>
    <t>No CNV; Normal - No duplication</t>
  </si>
  <si>
    <t>Parent of K5#6</t>
  </si>
  <si>
    <t>A22</t>
  </si>
  <si>
    <t>K5#8</t>
  </si>
  <si>
    <t>Father of K5-#6</t>
  </si>
  <si>
    <t>K5-#6</t>
  </si>
  <si>
    <t>S5; 2-1</t>
  </si>
  <si>
    <t>A28</t>
  </si>
  <si>
    <t>LMNB1_largedup_1</t>
  </si>
  <si>
    <t>A24</t>
  </si>
  <si>
    <t>S8; 2-4; S#330</t>
  </si>
  <si>
    <t>Large Dup</t>
  </si>
  <si>
    <t>C insertion</t>
  </si>
  <si>
    <t>Autonomic disorder</t>
  </si>
  <si>
    <t>S559</t>
  </si>
  <si>
    <t>Portugal</t>
  </si>
  <si>
    <t>A25</t>
  </si>
  <si>
    <t>S3; 1_3; S#135</t>
  </si>
  <si>
    <t>C-insertion</t>
  </si>
  <si>
    <t>A24 (non-aCGH)</t>
  </si>
  <si>
    <t>LMNB1_dup_18</t>
  </si>
  <si>
    <t>F2</t>
  </si>
  <si>
    <t xml:space="preserve">Duplication </t>
  </si>
  <si>
    <t>1.03 Mb</t>
  </si>
  <si>
    <t>No ADLD</t>
  </si>
  <si>
    <t>Nmezi et al. 2025</t>
  </si>
  <si>
    <t>10.1038/s41467-025-56378-9</t>
  </si>
  <si>
    <t>Yes, Nmezi et al. 2025 (supplemental)</t>
  </si>
  <si>
    <t>LMNB1_dup_17</t>
  </si>
  <si>
    <t>K6-17 iPSC</t>
  </si>
  <si>
    <t>Fibroblast, brain</t>
  </si>
  <si>
    <t>LMNB1_del_1</t>
  </si>
  <si>
    <t>A29</t>
  </si>
  <si>
    <t>K19-50</t>
  </si>
  <si>
    <t>S7; 2_3</t>
  </si>
  <si>
    <t>UDP_10602 (Deletion)</t>
  </si>
  <si>
    <t>Deletion</t>
  </si>
  <si>
    <t>None</t>
  </si>
  <si>
    <t>M, Son of UDP_10602 (K19-49)</t>
  </si>
  <si>
    <t>K19-51</t>
  </si>
  <si>
    <t>F, Daughter of UDP_10602 (K19-49)</t>
  </si>
  <si>
    <t>A23</t>
  </si>
  <si>
    <t>K19-49</t>
  </si>
  <si>
    <t>A29; MDL24; UDP_10602</t>
  </si>
  <si>
    <t>custom aCGH, short read NGS 12/9/2025</t>
  </si>
  <si>
    <t>Nmezi et al. 2019</t>
  </si>
  <si>
    <t>Fibroblast</t>
  </si>
  <si>
    <t>DEL3</t>
  </si>
  <si>
    <t xml:space="preserve">Deletion </t>
  </si>
  <si>
    <t>custom aCGH</t>
  </si>
  <si>
    <t>673 kb</t>
  </si>
  <si>
    <t>LMNB1_largedup_2</t>
  </si>
  <si>
    <t>LN_dup_2</t>
  </si>
  <si>
    <t>4.37Mb Microdup</t>
  </si>
  <si>
    <t>K10-22</t>
  </si>
  <si>
    <t>2_3</t>
  </si>
  <si>
    <t>4.3 Mb dup</t>
  </si>
  <si>
    <t>Junction PCR</t>
  </si>
  <si>
    <t>much larger than probes could detect</t>
  </si>
  <si>
    <t xml:space="preserve">GATGAAAAAGAGCCTAAACGCTATC </t>
  </si>
  <si>
    <t>Dev. Delay</t>
  </si>
  <si>
    <t>K10-20</t>
  </si>
  <si>
    <t>K10-23</t>
  </si>
  <si>
    <t>LMNB1_largedup_3</t>
  </si>
  <si>
    <t>K11-24</t>
  </si>
  <si>
    <t>GM B206</t>
  </si>
  <si>
    <t>Britain</t>
  </si>
  <si>
    <t>4.366 Mb duplication between LTR homologs (49 bp range). Granduncle</t>
  </si>
  <si>
    <t>LN_dup_3</t>
  </si>
  <si>
    <t>K11-25</t>
  </si>
  <si>
    <t>Ex1715887</t>
  </si>
  <si>
    <t>England</t>
  </si>
  <si>
    <t xml:space="preserve">GCCGGAATTTAATTTTTGGAGTTTTATTTAATGTCGGGAGCAGATTGGG </t>
  </si>
  <si>
    <t>4.366 Mb duplication between LTR homologs (49 bp range). Grandfather</t>
  </si>
  <si>
    <t>K11#33</t>
  </si>
  <si>
    <t>Junction PCR. Short read NGS - results in Column L and M</t>
  </si>
  <si>
    <t>4.366 Mb duplication between LTR homologs (49 bp range). Junction PCR + Sequencing done</t>
  </si>
  <si>
    <t>K10-21</t>
  </si>
  <si>
    <t>K11#28</t>
  </si>
  <si>
    <t>F, no DNA, Mother</t>
  </si>
  <si>
    <t>K11#29</t>
  </si>
  <si>
    <t>M, no DNA, Proband</t>
  </si>
  <si>
    <t>LMNB1_largedup_4</t>
  </si>
  <si>
    <t>LN_dup_4</t>
  </si>
  <si>
    <t>K18-43</t>
  </si>
  <si>
    <t>UT4.3-1</t>
  </si>
  <si>
    <t>Utah</t>
  </si>
  <si>
    <t>UT 4.3 Mb Dup family</t>
  </si>
  <si>
    <t>(out of range)</t>
  </si>
  <si>
    <t xml:space="preserve">M, UT 4.3 Mb Dup family, Formerly UT4.3-1. 4.36 Mb duplication. Spit kits arrived unlabeled. </t>
  </si>
  <si>
    <t>UT4.3-6</t>
  </si>
  <si>
    <t xml:space="preserve">M, Formerly UT4.3-6. 4.36 Mb duplication. Spit kits arrived unlabeled. </t>
  </si>
  <si>
    <t>UT4.3-4</t>
  </si>
  <si>
    <t>No Dup</t>
  </si>
  <si>
    <t xml:space="preserve">F, Formerly UT4.3-4. No duplication. Spit kits arrived unlabeled. </t>
  </si>
  <si>
    <t>UT4.3-3</t>
  </si>
  <si>
    <t xml:space="preserve">F, Formerly UT4.3-3. 4.36 Mb duplication. Spit kits arrived unlabeled. </t>
  </si>
  <si>
    <t>UT4.3-5</t>
  </si>
  <si>
    <t xml:space="preserve">F, Formerly UT4.3-5. No duplication. Spit kits arrived unlabeled. </t>
  </si>
  <si>
    <t>UT4.3-2</t>
  </si>
  <si>
    <t>Formerly UT4.3-2. Spit kits arrived unlabeled. This sample may have been a collection error.</t>
  </si>
  <si>
    <t>GM16.12954</t>
  </si>
  <si>
    <t>Hene Firth/Katherine Schon, UK</t>
  </si>
  <si>
    <t>Dev. Delay, Large Duplication</t>
  </si>
  <si>
    <t>4.366 Mb duplication between LTR homologs (115 bp range)</t>
  </si>
  <si>
    <t>F1</t>
  </si>
  <si>
    <t>4.37 Mb</t>
  </si>
  <si>
    <t>49 bp homology</t>
  </si>
  <si>
    <t>LMNB1_del_2</t>
  </si>
  <si>
    <t>ADLD-1-TO</t>
  </si>
  <si>
    <t>660kb</t>
  </si>
  <si>
    <t>Quattrocolo et al. 1997, Brussino et al. 2010, Giorgio et al. 2015, Giordana et al. 2005, Piccinini et al. 2009</t>
  </si>
  <si>
    <t>10.1159/000117406, 10.1111/j.1468-1331.2009.02844.x, https://doi.org/10.1093/hmg/ddv065, https://doi.org/10.1111/j.1750-3639.2005.tb00506.x, 10.1111/j.1750-3639.2009.00313.x</t>
  </si>
  <si>
    <t>Yes, simplified, Brussino et al 2010, Giorgio et al. 2015</t>
  </si>
  <si>
    <t>LMNB1_del_3</t>
  </si>
  <si>
    <t>609 kb</t>
  </si>
  <si>
    <t>Nmezi et al. 2019, Alturkustani et al. 2013</t>
  </si>
  <si>
    <t>LMNB1_del_4</t>
  </si>
  <si>
    <t>ADLD_del_4</t>
  </si>
  <si>
    <t>AC-11-519 (Deletion)</t>
  </si>
  <si>
    <t>CA-Del; CA2; S4; 1_3</t>
  </si>
  <si>
    <t>Giorgio, et al. 2013, Meijer et al. 2008</t>
  </si>
  <si>
    <t>LMNB1_invdup_1</t>
  </si>
  <si>
    <t>F4</t>
  </si>
  <si>
    <t>Inverted Duplication</t>
  </si>
  <si>
    <t>ADLD, Large Duplication</t>
  </si>
  <si>
    <t>Giorgio, et al 2013, Nmezi et al. 2025</t>
  </si>
  <si>
    <t>10.1002/humu.22368</t>
  </si>
  <si>
    <t>LMNB1_largedup_5</t>
  </si>
  <si>
    <t>K9#12</t>
  </si>
  <si>
    <t>UDP_11847; F3; S3; 1_2</t>
  </si>
  <si>
    <t>Magee-Womens Hosp.</t>
  </si>
  <si>
    <t>Large Duplication</t>
  </si>
  <si>
    <t>Proband</t>
  </si>
  <si>
    <t>K9#13</t>
  </si>
  <si>
    <t xml:space="preserve">Sibling of K9-12, </t>
  </si>
  <si>
    <t>K9#18</t>
  </si>
  <si>
    <t>Short read NGS</t>
  </si>
  <si>
    <t>Large duplication</t>
  </si>
  <si>
    <t>Parent of K9-12 and K9-13</t>
  </si>
  <si>
    <t>K9#19</t>
  </si>
  <si>
    <t>LMNB1_dup_34</t>
  </si>
  <si>
    <t>F3</t>
  </si>
  <si>
    <t>466 kb</t>
  </si>
  <si>
    <t>AG</t>
  </si>
  <si>
    <t>LMNB1_del_5</t>
  </si>
  <si>
    <t xml:space="preserve">250 kb </t>
  </si>
  <si>
    <t>LMNB1_dup_19</t>
  </si>
  <si>
    <t>K24-59</t>
  </si>
  <si>
    <t>Short read NGS, Junction PCR</t>
  </si>
  <si>
    <t>Microhomology of "GC"</t>
  </si>
  <si>
    <t xml:space="preserve">Our lab </t>
  </si>
  <si>
    <t>M</t>
  </si>
  <si>
    <t>LMNB1_dup_20</t>
  </si>
  <si>
    <t>Padiath et al. 2006</t>
  </si>
  <si>
    <t>10.1038/ng1873</t>
  </si>
  <si>
    <t>Yes, Padiath et al. 2006</t>
  </si>
  <si>
    <t>LMNB1_dup_21</t>
  </si>
  <si>
    <t>K14-30</t>
  </si>
  <si>
    <t>Australia,  Royal Melbourne Hosp</t>
  </si>
  <si>
    <t>aCGH, Junction PCR</t>
  </si>
  <si>
    <t>Microhomology of "ACCAT"</t>
  </si>
  <si>
    <t>Our lab</t>
  </si>
  <si>
    <t>1842.7 (235.1 diluted)</t>
  </si>
  <si>
    <t>LMNB1_dup_22</t>
  </si>
  <si>
    <t>Giorgio, et al 2013, Guaraldi et al. 2011</t>
  </si>
  <si>
    <t>10.1002/humu.22367, 10.1016/j.autneu.2010.07.011</t>
  </si>
  <si>
    <t>LMNB1_dup_23</t>
  </si>
  <si>
    <t>FR1</t>
  </si>
  <si>
    <t>10.1002/humu.22363</t>
  </si>
  <si>
    <t>FR2</t>
  </si>
  <si>
    <t>10.1002/humu.22364</t>
  </si>
  <si>
    <t>LMNB1_dup_24</t>
  </si>
  <si>
    <t>Giorgio, et al 2013, Dos Santos et al. 2011</t>
  </si>
  <si>
    <t>10.1002/humu.22362, 10.1007/s00415-011-6225-4</t>
  </si>
  <si>
    <t>Yes, Dos Santos et al. 2011</t>
  </si>
  <si>
    <t>LMNB1_dup_25</t>
  </si>
  <si>
    <t>Family 8</t>
  </si>
  <si>
    <t>Giorgio, et al 2013, Brussino et al. 2009</t>
  </si>
  <si>
    <t>10.1002/humu.22365, 10.1111/j.1468-1331.2009.02536.x</t>
  </si>
  <si>
    <t>LMNB1_dup_26</t>
  </si>
  <si>
    <t>10.1002/humu.22366</t>
  </si>
  <si>
    <t>LMNB1_dup_27</t>
  </si>
  <si>
    <t>ADLD1</t>
  </si>
  <si>
    <t>315 kb</t>
  </si>
  <si>
    <t>Columbaro et al. 2013, Barlotelli-Stella et al. 2015</t>
  </si>
  <si>
    <t>ADLD3</t>
  </si>
  <si>
    <t>315kb</t>
  </si>
  <si>
    <t>LMNB1_dup_28</t>
  </si>
  <si>
    <t>MG338</t>
  </si>
  <si>
    <t>2_1</t>
  </si>
  <si>
    <t>Mexico</t>
  </si>
  <si>
    <t>Tel&gt;inv cent: TCT. Inv Cent&gt;cent: TTTTTGTATTTTTAGTAGAGATGGGG</t>
  </si>
  <si>
    <t>LMNB1_dup_29</t>
  </si>
  <si>
    <t xml:space="preserve"> </t>
  </si>
  <si>
    <t xml:space="preserve">Next-generation whole-exome sequencing and optimal genome mapping </t>
  </si>
  <si>
    <t>275.54 kb</t>
  </si>
  <si>
    <t>Wang et al. 2025</t>
  </si>
  <si>
    <t>LMNB1_dup_30</t>
  </si>
  <si>
    <t>K23-58</t>
  </si>
  <si>
    <t>"J.P."</t>
  </si>
  <si>
    <t>Short read or long read NGS, Junction PCR</t>
  </si>
  <si>
    <t>Microhomology of "CA"</t>
  </si>
  <si>
    <t>LMNB1_dup_31</t>
  </si>
  <si>
    <t>K2685</t>
  </si>
  <si>
    <t>Padiath et al. 2006, Coffeen et al 2000</t>
  </si>
  <si>
    <t>K4233</t>
  </si>
  <si>
    <t>LMNB1_dup_32</t>
  </si>
  <si>
    <t>ADLD2</t>
  </si>
  <si>
    <t>235 kb</t>
  </si>
  <si>
    <t>LMNB1_dup_33</t>
  </si>
  <si>
    <t>Proband II-4</t>
  </si>
  <si>
    <t>Multiplex ligand-dependent probe amplification</t>
  </si>
  <si>
    <t>59651 bp</t>
  </si>
  <si>
    <t xml:space="preserve">ADLD </t>
  </si>
  <si>
    <t>Zhang et al. 2019</t>
  </si>
  <si>
    <t>Yes, Zhang et al. 2019</t>
  </si>
  <si>
    <t>Three gen family</t>
  </si>
  <si>
    <t>I-2</t>
  </si>
  <si>
    <t>Deletion/Duplication</t>
  </si>
  <si>
    <t>aCGH, FISH, MPS</t>
  </si>
  <si>
    <t>1.47 Mb 5p15 deletion, 6.64 Mb 5q23.2q23.3 duplication</t>
  </si>
  <si>
    <t>Fonseca et al. 2015</t>
  </si>
  <si>
    <t>10.1186/s13039-015-0205-9</t>
  </si>
  <si>
    <t>Three chromsome rearrangement involving chromosomes 2, 5, and 22 with three novel CNV: two microdeletions at 2p15 and 5p15 and a microduplication at 5q23.2-23.6</t>
  </si>
  <si>
    <t>II-3</t>
  </si>
  <si>
    <t xml:space="preserve">Three chromsome rearrangement involving chromosomes 2, 5, and 22 with three novel CNV: two microdeletions at 2p15 and 5p15 and a microduplication at 5q23.2-23.5 \\ </t>
  </si>
  <si>
    <t>II-4</t>
  </si>
  <si>
    <t>Three chromsome rearrangement involving chromosomes 2, 5, and 22 with three novel CNV: two microdeletions at 2p15 and 5p15 and a microduplication at 5q23.2-23.4</t>
  </si>
  <si>
    <t>II-6</t>
  </si>
  <si>
    <t>1.42 Mb 2p14 deletion, 5q23.2 deletion</t>
  </si>
  <si>
    <t>Inherited the der(2) and der(22) chromsomes</t>
  </si>
  <si>
    <t>III-3</t>
  </si>
  <si>
    <t>III-4</t>
  </si>
  <si>
    <t>Three chromsome rearrangement involving chromosomes 2, 5, and 22 with three novel CNV: two microdeletions at 2p15 and 5p15 and a microduplication at 5q23.2-23.3</t>
  </si>
  <si>
    <t>Armin Grau, Germany</t>
  </si>
  <si>
    <t>LOOK FOR THE PUBLICATION</t>
  </si>
  <si>
    <t>2604-A</t>
  </si>
  <si>
    <t>PUBLISHED LOOK FOR PAPER</t>
  </si>
  <si>
    <t>Filippo Pinto E Vairo, Brazil</t>
  </si>
  <si>
    <t>ODS</t>
  </si>
  <si>
    <t>Unaffected mother of SDS and CDS, Leukodystrophy</t>
  </si>
  <si>
    <t>SDS</t>
  </si>
  <si>
    <t>Affected, Leukodystrophy</t>
  </si>
  <si>
    <t>CDS</t>
  </si>
  <si>
    <t>Leukodystrophy</t>
  </si>
  <si>
    <t>120327 (ROT fam)</t>
  </si>
  <si>
    <t>University of Turin</t>
  </si>
  <si>
    <t>WES</t>
  </si>
  <si>
    <t>RB</t>
  </si>
  <si>
    <t>University of Belgrade</t>
  </si>
  <si>
    <t>CAPOS</t>
  </si>
  <si>
    <t>NV</t>
  </si>
  <si>
    <t>NZ</t>
  </si>
  <si>
    <t>NL</t>
  </si>
  <si>
    <t>P425</t>
  </si>
  <si>
    <t>PRE</t>
  </si>
  <si>
    <t>Alfredo Brusco, University of Turin</t>
  </si>
  <si>
    <t>R029</t>
  </si>
  <si>
    <t>DEL</t>
  </si>
  <si>
    <t>N273</t>
  </si>
  <si>
    <t>H796</t>
  </si>
  <si>
    <t>Israel, Sharon Hassin</t>
  </si>
  <si>
    <t>G59YK</t>
  </si>
  <si>
    <t>2ZR</t>
  </si>
  <si>
    <t>pending</t>
  </si>
  <si>
    <t>K15-31</t>
  </si>
  <si>
    <t>1_3</t>
  </si>
  <si>
    <t>Uruguay</t>
  </si>
  <si>
    <t>Tandem duplication</t>
  </si>
  <si>
    <t>Short read or long read NGS 12/9/2025, Constellation NGS 12/9/2025</t>
  </si>
  <si>
    <t>Note: clusters of repetitive elements around tel junction</t>
  </si>
  <si>
    <t>aCGH data bad</t>
  </si>
  <si>
    <t>K15-32</t>
  </si>
  <si>
    <t>K17-42</t>
  </si>
  <si>
    <t>K16#37</t>
  </si>
  <si>
    <t>A12</t>
  </si>
  <si>
    <t>S4; S18</t>
  </si>
  <si>
    <t>1_4</t>
  </si>
  <si>
    <t>UDP_11012</t>
  </si>
  <si>
    <t>NIH</t>
  </si>
  <si>
    <t>(No dups/dels)</t>
  </si>
  <si>
    <t>UDP iPSC</t>
  </si>
  <si>
    <t>K16#39 (poor quality DNA)</t>
  </si>
  <si>
    <t>Poor DNA quality, PCRs not working</t>
  </si>
  <si>
    <t>K21-53 (bad sample)</t>
  </si>
  <si>
    <t>"C.S."; 2_4</t>
  </si>
  <si>
    <t>NC USA</t>
  </si>
  <si>
    <t>Cousin of K21-54. low concentration going into aCGH?</t>
  </si>
  <si>
    <t>KCL 148359</t>
  </si>
  <si>
    <t>BCM1; 2_2</t>
  </si>
  <si>
    <t>(need to find junction)</t>
  </si>
  <si>
    <t>(rep seq) max: 126003927, min: 126010487</t>
  </si>
  <si>
    <t>(rep seq) max: 126004134, min: 126011195</t>
  </si>
  <si>
    <t>126004134-126010241, 126344410</t>
  </si>
  <si>
    <t>UK (21/27024, 264712)</t>
  </si>
  <si>
    <t>Patient ID - 589339:02; 2_2</t>
  </si>
  <si>
    <t>United Kingdom</t>
  </si>
  <si>
    <t>13.31 Mb deletion, 23.60 Mb duplication</t>
  </si>
  <si>
    <t>deletion: 92082491; duplication: 106082159</t>
  </si>
  <si>
    <t>deletion: 105391153; duplication: 129679224</t>
  </si>
  <si>
    <t>Predicted</t>
  </si>
  <si>
    <t>Jaklin et al. 2012</t>
  </si>
  <si>
    <t>10.1016/j.ejmg.2012.06.010</t>
  </si>
  <si>
    <t>de novo</t>
  </si>
  <si>
    <t>Proband IV-1</t>
  </si>
  <si>
    <t>Whole exome sequencing, qPCR</t>
  </si>
  <si>
    <t>Bijarnia-Mahayet al. 2021</t>
  </si>
  <si>
    <t>10.4103/aian.AIAN_1262_20</t>
  </si>
  <si>
    <t>Yes, Bijarnia-Mahay et al. 2021</t>
  </si>
  <si>
    <t>K4975</t>
  </si>
  <si>
    <t>10.1038/ng1874</t>
  </si>
  <si>
    <t>BF-10602</t>
  </si>
  <si>
    <t>Fb (Port.) iPSC</t>
  </si>
  <si>
    <t>2_2</t>
  </si>
  <si>
    <t>microarray</t>
  </si>
  <si>
    <t>645 kb</t>
  </si>
  <si>
    <t>Mihashi et al. 2024</t>
  </si>
  <si>
    <t>10.1007/s10072-024-07667-6</t>
  </si>
  <si>
    <t>BR2</t>
  </si>
  <si>
    <t>Charles Marques Lourenco</t>
  </si>
  <si>
    <t>Suspected ADLD but did not show duplication on QT-PCR and aCGH was dirty but did not show duplication</t>
  </si>
  <si>
    <t>Family 1</t>
  </si>
  <si>
    <t>Whole exome sequencing with CNV</t>
  </si>
  <si>
    <t>Chen et al. 2022</t>
  </si>
  <si>
    <t>10.1007/s10072-022-06057-0</t>
  </si>
  <si>
    <t>Yes, Chen et al. 2022</t>
  </si>
  <si>
    <t>Early onset case</t>
  </si>
  <si>
    <t>Family 2</t>
  </si>
  <si>
    <t>Family 8 (china)</t>
  </si>
  <si>
    <t>Sanger sequencing</t>
  </si>
  <si>
    <t>73.6 kb</t>
  </si>
  <si>
    <t>Multiplex ligation-dependent probe amplification (MPLA) experiment results indicate recurrent mutations across all exons of LMNB1 gene</t>
  </si>
  <si>
    <t>Jiang et al. 2025</t>
  </si>
  <si>
    <t>10.3389/fnins.2025.1531593</t>
  </si>
  <si>
    <t>Yes, Jiang et al. 2025</t>
  </si>
  <si>
    <t>G769</t>
  </si>
  <si>
    <t>quantitative duplex PCR assay</t>
  </si>
  <si>
    <t>140-190 kb</t>
  </si>
  <si>
    <t>Brussino et al. 2009</t>
  </si>
  <si>
    <t>10.1136/jnnp.2008.147330</t>
  </si>
  <si>
    <t>Corlobe et al. 2015</t>
  </si>
  <si>
    <t>10.1007/s00415-015-7660-4</t>
  </si>
  <si>
    <t>Yes, Corlobe et al. 2015</t>
  </si>
  <si>
    <t>Exome sequencing, did not look at copy number variation</t>
  </si>
  <si>
    <t>qPCR</t>
  </si>
  <si>
    <t>Potic et al. 2013</t>
  </si>
  <si>
    <t>10.1007/s00415-013-6958-3</t>
  </si>
  <si>
    <t>Yes, Potic et al. 2013</t>
  </si>
  <si>
    <t>MLPA</t>
  </si>
  <si>
    <t>Dai et al. 2017</t>
  </si>
  <si>
    <t>10.3389/fnmol.2017.00215</t>
  </si>
  <si>
    <t>Yes, Dai et al. 2017</t>
  </si>
  <si>
    <t>Abe et al. 1993</t>
  </si>
  <si>
    <t>10.1007/BF00602615</t>
  </si>
  <si>
    <t>Molloy et al. 2012</t>
  </si>
  <si>
    <t>PMID: 22973660</t>
  </si>
  <si>
    <t>Bergui et al. 1997</t>
  </si>
  <si>
    <t>10.1007/s002340050437</t>
  </si>
  <si>
    <t>Schwankhaus et al. 1988</t>
  </si>
  <si>
    <t>10.1001/archneur.1988.00520330094015</t>
  </si>
  <si>
    <t>Yes, Scwankhause et al. 1988</t>
  </si>
  <si>
    <t xml:space="preserve">Sandoval-Rodriguez et al. 2017 </t>
  </si>
  <si>
    <t>10.1016/j.msard.2017.08.014</t>
  </si>
  <si>
    <t>18D3919A (NL1)</t>
  </si>
  <si>
    <t>Netherlands</t>
  </si>
  <si>
    <t>O2SF iPSC</t>
  </si>
  <si>
    <t>BR3</t>
  </si>
  <si>
    <t>LD01SP; 2_3</t>
  </si>
  <si>
    <t>University of Sao Paulo, Jose Pedroso, Orlando Barsottini</t>
  </si>
  <si>
    <t>ADLD, missense mutation</t>
  </si>
  <si>
    <t>Pedroso et al. J Neurol Sci 2017</t>
  </si>
  <si>
    <t>(out of fib gDNA), female</t>
  </si>
  <si>
    <t>Received samples 5/5/2022</t>
  </si>
  <si>
    <t>Name</t>
  </si>
  <si>
    <t>Sex</t>
  </si>
  <si>
    <t>CNV</t>
  </si>
  <si>
    <t>Disease status</t>
  </si>
  <si>
    <t>Location</t>
  </si>
  <si>
    <t>Date received</t>
  </si>
  <si>
    <t>K1#1</t>
  </si>
  <si>
    <t>VWM</t>
  </si>
  <si>
    <t>K1#2</t>
  </si>
  <si>
    <t>K5#7</t>
  </si>
  <si>
    <t>Unaffected. Parent of K5#6</t>
  </si>
  <si>
    <t>K18#44</t>
  </si>
  <si>
    <t>Utah, USA</t>
  </si>
  <si>
    <t xml:space="preserve">Formerly UT4.3-6. 4.36 Mb duplication. Spit kits arrived unlabeled. </t>
  </si>
  <si>
    <t>K18#45</t>
  </si>
  <si>
    <t>F</t>
  </si>
  <si>
    <t xml:space="preserve">Formerly UT4.3-4. No duplication. Spit kits arrived unlabeled. </t>
  </si>
  <si>
    <t>K18#46</t>
  </si>
  <si>
    <t xml:space="preserve">Formerly UT4.3-3. 4.36 Mb duplication. Spit kits arrived unlabeled. </t>
  </si>
  <si>
    <t>K18#47</t>
  </si>
  <si>
    <t xml:space="preserve">Formerly UT4.3-5. No duplication. Spit kits arrived unlabeled. </t>
  </si>
  <si>
    <t>K21-53 ("C.S.")</t>
  </si>
  <si>
    <t>NC, USA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</si>
</sst>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 #,##0_);_(* \(#,##0\);_(* &quot;-&quot;??_);_(@_)"/>
  </numFmts>
  <fonts count="19">
    <font>
      <sz val="11"/>
      <color theme="1"/>
      <name val="Calibri"/>
      <family val="2"/>
      <scheme val="minor"/>
    </font>
    <font>
      <sz val="12"/>
      <color theme="1"/>
      <name val="Calibri"/>
      <family val="2"/>
      <scheme val="minor"/>
    </font>
    <font>
      <sz val="11"/>
      <color theme="9"/>
      <name val="Calibri"/>
      <family val="2"/>
      <scheme val="minor"/>
    </font>
    <font>
      <sz val="11"/>
      <color theme="4"/>
      <name val="Calibri"/>
      <family val="2"/>
      <scheme val="minor"/>
    </font>
    <font>
      <sz val="10"/>
      <name val="Arial"/>
      <family val="2"/>
    </font>
    <font>
      <sz val="12"/>
      <color theme="1"/>
      <name val="Calibri"/>
      <family val="2"/>
      <scheme val="minor"/>
    </font>
    <font>
      <sz val="11"/>
      <color rgb="FF9C5700"/>
      <name val="Calibri"/>
      <family val="2"/>
      <scheme val="minor"/>
    </font>
    <font>
      <b/>
      <sz val="11"/>
      <color theme="1"/>
      <name val="Calibri"/>
      <family val="2"/>
      <scheme val="minor"/>
    </font>
    <font>
      <b/>
      <sz val="11"/>
      <name val="Calibri"/>
      <family val="2"/>
      <scheme val="minor"/>
    </font>
    <font>
      <sz val="11"/>
      <color rgb="FF9C0006"/>
      <name val="Calibri"/>
      <family val="2"/>
      <scheme val="minor"/>
    </font>
    <font>
      <u/>
      <sz val="12"/>
      <color theme="10"/>
      <name val="Calibri"/>
      <family val="2"/>
      <scheme val="minor"/>
    </font>
    <font>
      <sz val="11"/>
      <name val="Calibri"/>
      <family val="2"/>
      <scheme val="minor"/>
    </font>
    <font>
      <sz val="11"/>
      <color rgb="FF000000"/>
      <name val="Calibri"/>
      <family val="2"/>
      <scheme val="minor"/>
    </font>
    <font>
      <sz val="11"/>
      <name val="Arial Unicode MS"/>
      <family val="2"/>
    </font>
    <font>
      <b/>
      <sz val="11"/>
      <color theme="1" tint="0.499984740745262"/>
      <name val="Calibri"/>
      <family val="2"/>
      <scheme val="minor"/>
    </font>
    <font>
      <sz val="11"/>
      <color theme="1" tint="0.499984740745262"/>
      <name val="Calibri"/>
      <family val="2"/>
      <scheme val="minor"/>
    </font>
    <font>
      <b/>
      <sz val="11"/>
      <color theme="0"/>
      <name val="Calibri"/>
      <family val="2"/>
      <scheme val="minor"/>
    </font>
    <font>
      <sz val="11"/>
      <color theme="1"/>
      <name val="Calibri"/>
      <family val="2"/>
      <scheme val="minor"/>
    </font>
    <font>
      <b/>
      <sz val="12"/>
      <color theme="1"/>
      <name val="Calibri"/>
      <family val="2"/>
      <scheme val="minor"/>
    </font>
  </fonts>
  <fills count="15">
    <fill>
      <patternFill patternType="none"/>
    </fill>
    <fill>
      <patternFill patternType="gray125"/>
    </fill>
    <fill>
      <patternFill patternType="solid">
        <fgColor rgb="FFFFEB9C"/>
      </patternFill>
    </fill>
    <fill>
      <patternFill patternType="solid">
        <fgColor rgb="FFFFC7CE"/>
      </patternFill>
    </fill>
    <fill>
      <patternFill patternType="solid">
        <fgColor theme="0"/>
        <bgColor indexed="64"/>
      </patternFill>
    </fill>
    <fill>
      <patternFill patternType="solid">
        <fgColor rgb="FFCCCCFF"/>
        <bgColor indexed="64"/>
      </patternFill>
    </fill>
    <fill>
      <patternFill patternType="solid">
        <fgColor rgb="FFCCECFF"/>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rgb="FFFFCCCC"/>
        <bgColor indexed="64"/>
      </patternFill>
    </fill>
    <fill>
      <patternFill patternType="solid">
        <fgColor rgb="FFFFFF00"/>
        <bgColor indexed="64"/>
      </patternFill>
    </fill>
    <fill>
      <patternFill patternType="solid">
        <fgColor theme="4"/>
        <bgColor indexed="64"/>
      </patternFill>
    </fill>
    <fill>
      <patternFill patternType="solid">
        <fgColor theme="9"/>
        <bgColor indexed="64"/>
      </patternFill>
    </fill>
    <fill>
      <patternFill patternType="solid">
        <fgColor rgb="FFFF0000"/>
        <bgColor indexed="64"/>
      </patternFill>
    </fill>
    <fill>
      <patternFill patternType="solid">
        <fgColor rgb="FFA5A5A5"/>
      </patternFill>
    </fill>
  </fills>
  <borders count="18">
    <border>
      <left/>
      <right/>
      <top/>
      <bottom/>
      <diagonal/>
    </border>
    <border>
      <left/>
      <right/>
      <top style="medium">
        <color indexed="64"/>
      </top>
      <bottom/>
      <diagonal/>
    </border>
    <border>
      <left/>
      <right/>
      <top/>
      <bottom style="medium">
        <color indexed="64"/>
      </bottom>
      <diagonal/>
    </border>
    <border>
      <left/>
      <right/>
      <top style="medium">
        <color indexed="64"/>
      </top>
      <bottom style="medium">
        <color indexed="64"/>
      </bottom>
      <diagonal/>
    </border>
    <border>
      <left style="thin">
        <color auto="1"/>
      </left>
      <right style="thin">
        <color auto="1"/>
      </right>
      <top style="thin">
        <color auto="1"/>
      </top>
      <bottom style="thin">
        <color auto="1"/>
      </bottom>
      <diagonal/>
    </border>
    <border>
      <left/>
      <right style="medium">
        <color indexed="64"/>
      </right>
      <top/>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top style="thin">
        <color auto="1"/>
      </top>
      <bottom/>
      <diagonal/>
    </border>
    <border>
      <left style="double">
        <color rgb="FF3F3F3F"/>
      </left>
      <right style="double">
        <color rgb="FF3F3F3F"/>
      </right>
      <top style="double">
        <color rgb="FF3F3F3F"/>
      </top>
      <bottom style="double">
        <color rgb="FF3F3F3F"/>
      </bottom>
      <diagonal/>
    </border>
    <border>
      <left style="medium">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bottom style="medium">
        <color indexed="64"/>
      </bottom>
      <diagonal/>
    </border>
  </borders>
  <cellStyleXfs count="8">
    <xf numFmtId="0" fontId="0" fillId="0" borderId="0"/>
    <xf numFmtId="0" fontId="4" fillId="0" borderId="0"/>
    <xf numFmtId="0" fontId="6" fillId="2" borderId="0" applyNumberFormat="0" applyBorder="0" applyAlignment="0" applyProtection="0"/>
    <xf numFmtId="0" fontId="9" fillId="3" borderId="0" applyNumberFormat="0" applyBorder="0" applyAlignment="0" applyProtection="0"/>
    <xf numFmtId="0" fontId="5" fillId="0" borderId="0"/>
    <xf numFmtId="0" fontId="10" fillId="0" borderId="0" applyNumberFormat="0" applyFill="0" applyBorder="0" applyAlignment="0" applyProtection="0"/>
    <xf numFmtId="0" fontId="16" fillId="14" borderId="12" applyNumberFormat="0" applyAlignment="0" applyProtection="0"/>
    <xf numFmtId="43" fontId="17" fillId="0" borderId="0" applyFont="0" applyFill="0" applyBorder="0" applyAlignment="0" applyProtection="0"/>
  </cellStyleXfs>
  <cellXfs count="268">
    <xf numFmtId="0" fontId="0" fillId="0" borderId="0" xfId="0"/>
    <xf numFmtId="0" fontId="2" fillId="0" borderId="1" xfId="0" applyFont="1" applyBorder="1" applyAlignment="1">
      <alignment horizontal="center" vertical="center"/>
    </xf>
    <xf numFmtId="0" fontId="11" fillId="0" borderId="1" xfId="0" applyFont="1" applyBorder="1" applyAlignment="1">
      <alignment horizontal="left" vertical="center"/>
    </xf>
    <xf numFmtId="0" fontId="11" fillId="0" borderId="2" xfId="0" applyFont="1" applyBorder="1" applyAlignment="1">
      <alignment horizontal="left" vertical="center"/>
    </xf>
    <xf numFmtId="3" fontId="11" fillId="0" borderId="1" xfId="0" applyNumberFormat="1" applyFont="1" applyBorder="1" applyAlignment="1">
      <alignment horizontal="center" vertical="center"/>
    </xf>
    <xf numFmtId="3" fontId="11" fillId="0" borderId="3" xfId="0" applyNumberFormat="1" applyFont="1" applyBorder="1" applyAlignment="1">
      <alignment horizontal="center" vertical="center"/>
    </xf>
    <xf numFmtId="0" fontId="2" fillId="0" borderId="3" xfId="0" applyFont="1" applyBorder="1" applyAlignment="1">
      <alignment horizontal="center" vertical="center"/>
    </xf>
    <xf numFmtId="0" fontId="11" fillId="0" borderId="1" xfId="0" applyFont="1" applyBorder="1" applyAlignment="1">
      <alignment horizontal="center" vertical="center" wrapText="1"/>
    </xf>
    <xf numFmtId="0" fontId="11" fillId="0" borderId="3" xfId="0" applyFont="1" applyBorder="1" applyAlignment="1">
      <alignment horizontal="center" vertical="center"/>
    </xf>
    <xf numFmtId="0" fontId="2" fillId="0" borderId="2" xfId="0" applyFont="1" applyBorder="1" applyAlignment="1">
      <alignment horizontal="center" vertical="center"/>
    </xf>
    <xf numFmtId="0" fontId="11" fillId="0" borderId="3" xfId="0" applyFont="1" applyBorder="1" applyAlignment="1">
      <alignment horizontal="left" vertical="center"/>
    </xf>
    <xf numFmtId="0" fontId="0" fillId="0" borderId="1" xfId="0" applyBorder="1" applyAlignment="1">
      <alignment horizontal="center" vertical="center"/>
    </xf>
    <xf numFmtId="0" fontId="0" fillId="0" borderId="1" xfId="0" applyBorder="1" applyAlignment="1">
      <alignment horizontal="left" vertical="center"/>
    </xf>
    <xf numFmtId="0" fontId="0" fillId="0" borderId="2" xfId="0" applyBorder="1" applyAlignment="1">
      <alignment horizontal="center" vertical="center"/>
    </xf>
    <xf numFmtId="0" fontId="0" fillId="0" borderId="2" xfId="0" applyBorder="1" applyAlignment="1">
      <alignment horizontal="left" vertical="center"/>
    </xf>
    <xf numFmtId="3" fontId="12" fillId="0" borderId="1" xfId="0" applyNumberFormat="1" applyFont="1" applyBorder="1" applyAlignment="1">
      <alignment horizontal="center" vertical="center" wrapText="1"/>
    </xf>
    <xf numFmtId="14" fontId="0" fillId="0" borderId="1" xfId="0" applyNumberFormat="1" applyBorder="1" applyAlignment="1">
      <alignment horizontal="left" vertical="center"/>
    </xf>
    <xf numFmtId="0" fontId="0" fillId="0" borderId="1" xfId="0" applyBorder="1" applyAlignment="1">
      <alignment horizontal="center" vertical="center" wrapText="1"/>
    </xf>
    <xf numFmtId="3" fontId="11" fillId="0" borderId="1" xfId="0" applyNumberFormat="1" applyFont="1" applyBorder="1" applyAlignment="1">
      <alignment horizontal="center" vertical="center" wrapText="1"/>
    </xf>
    <xf numFmtId="0" fontId="12" fillId="0" borderId="1" xfId="0" applyFont="1" applyBorder="1" applyAlignment="1">
      <alignment horizontal="left" vertical="center"/>
    </xf>
    <xf numFmtId="49"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left" vertical="center"/>
    </xf>
    <xf numFmtId="0" fontId="12" fillId="0" borderId="1" xfId="0" applyFont="1" applyBorder="1" applyAlignment="1">
      <alignment horizontal="center" vertical="center"/>
    </xf>
    <xf numFmtId="0" fontId="0" fillId="0" borderId="3" xfId="0" applyBorder="1" applyAlignment="1">
      <alignment horizontal="center" vertical="center" wrapText="1"/>
    </xf>
    <xf numFmtId="3" fontId="11" fillId="0" borderId="2" xfId="0" applyNumberFormat="1" applyFont="1" applyBorder="1" applyAlignment="1">
      <alignment horizontal="center" vertical="center"/>
    </xf>
    <xf numFmtId="0" fontId="0" fillId="5" borderId="3" xfId="0" applyFill="1" applyBorder="1" applyAlignment="1">
      <alignment horizontal="center" vertical="center"/>
    </xf>
    <xf numFmtId="0" fontId="0" fillId="5" borderId="3" xfId="0" applyFill="1" applyBorder="1" applyAlignment="1">
      <alignment horizontal="left" vertical="center"/>
    </xf>
    <xf numFmtId="0" fontId="0" fillId="5" borderId="1" xfId="0" applyFill="1" applyBorder="1" applyAlignment="1">
      <alignment horizontal="center" vertical="center"/>
    </xf>
    <xf numFmtId="0" fontId="2" fillId="5" borderId="3" xfId="0" applyFont="1" applyFill="1" applyBorder="1" applyAlignment="1">
      <alignment horizontal="center" vertical="center"/>
    </xf>
    <xf numFmtId="0" fontId="0" fillId="6" borderId="2" xfId="0" applyFill="1" applyBorder="1" applyAlignment="1">
      <alignment horizontal="center" vertical="center"/>
    </xf>
    <xf numFmtId="0" fontId="0" fillId="6" borderId="2" xfId="0" applyFill="1" applyBorder="1" applyAlignment="1">
      <alignment horizontal="center" vertical="center" wrapText="1"/>
    </xf>
    <xf numFmtId="0" fontId="0" fillId="6" borderId="2" xfId="0" applyFill="1" applyBorder="1" applyAlignment="1">
      <alignment horizontal="left" vertical="center"/>
    </xf>
    <xf numFmtId="0" fontId="11" fillId="6" borderId="2" xfId="0" applyFont="1" applyFill="1" applyBorder="1" applyAlignment="1">
      <alignment horizontal="center" vertical="center"/>
    </xf>
    <xf numFmtId="0" fontId="0" fillId="6" borderId="3" xfId="0" applyFill="1" applyBorder="1" applyAlignment="1">
      <alignment horizontal="center" vertical="center"/>
    </xf>
    <xf numFmtId="0" fontId="0" fillId="6" borderId="3" xfId="0" applyFill="1" applyBorder="1" applyAlignment="1">
      <alignment horizontal="center" vertical="center" wrapText="1"/>
    </xf>
    <xf numFmtId="0" fontId="0" fillId="6" borderId="3" xfId="0" applyFill="1" applyBorder="1" applyAlignment="1">
      <alignment horizontal="left" vertical="center"/>
    </xf>
    <xf numFmtId="0" fontId="0" fillId="6" borderId="1" xfId="0" applyFill="1" applyBorder="1" applyAlignment="1">
      <alignment horizontal="center" vertical="center"/>
    </xf>
    <xf numFmtId="0" fontId="2" fillId="6" borderId="3" xfId="0" applyFont="1" applyFill="1" applyBorder="1" applyAlignment="1">
      <alignment horizontal="center" vertical="center"/>
    </xf>
    <xf numFmtId="0" fontId="0" fillId="5" borderId="2" xfId="0" applyFill="1" applyBorder="1" applyAlignment="1">
      <alignment horizontal="center" vertical="center"/>
    </xf>
    <xf numFmtId="0" fontId="0" fillId="5" borderId="2" xfId="0" applyFill="1" applyBorder="1" applyAlignment="1">
      <alignment horizontal="left" vertical="center"/>
    </xf>
    <xf numFmtId="0" fontId="0" fillId="5" borderId="1" xfId="0" applyFill="1" applyBorder="1" applyAlignment="1">
      <alignment horizontal="left" vertical="center"/>
    </xf>
    <xf numFmtId="0" fontId="11" fillId="5" borderId="3" xfId="0" applyFont="1" applyFill="1" applyBorder="1" applyAlignment="1">
      <alignment horizontal="left" vertical="center"/>
    </xf>
    <xf numFmtId="0" fontId="11" fillId="5" borderId="2" xfId="0" applyFont="1" applyFill="1" applyBorder="1" applyAlignment="1">
      <alignment horizontal="left" vertical="center"/>
    </xf>
    <xf numFmtId="0" fontId="11" fillId="6" borderId="2" xfId="0" applyFont="1" applyFill="1" applyBorder="1" applyAlignment="1">
      <alignment horizontal="left" vertical="center"/>
    </xf>
    <xf numFmtId="0" fontId="0" fillId="6" borderId="1" xfId="0" applyFill="1" applyBorder="1" applyAlignment="1">
      <alignment horizontal="left" vertical="center"/>
    </xf>
    <xf numFmtId="0" fontId="11" fillId="6" borderId="1" xfId="0" applyFont="1" applyFill="1" applyBorder="1" applyAlignment="1">
      <alignment horizontal="left" vertical="center"/>
    </xf>
    <xf numFmtId="0" fontId="0" fillId="0" borderId="2" xfId="0" applyBorder="1" applyAlignment="1">
      <alignment horizontal="center" vertical="center" wrapText="1"/>
    </xf>
    <xf numFmtId="0" fontId="11" fillId="0" borderId="2" xfId="0" applyFont="1" applyBorder="1" applyAlignment="1">
      <alignment horizontal="center" vertical="center" wrapText="1"/>
    </xf>
    <xf numFmtId="0" fontId="0" fillId="7" borderId="3" xfId="0" applyFill="1" applyBorder="1" applyAlignment="1">
      <alignment horizontal="center" vertical="center"/>
    </xf>
    <xf numFmtId="0" fontId="0" fillId="7" borderId="2" xfId="0" applyFill="1" applyBorder="1" applyAlignment="1">
      <alignment horizontal="center" vertical="center"/>
    </xf>
    <xf numFmtId="0" fontId="0" fillId="7" borderId="1" xfId="0" applyFill="1" applyBorder="1" applyAlignment="1">
      <alignment horizontal="center" vertical="center"/>
    </xf>
    <xf numFmtId="3" fontId="11" fillId="6" borderId="2" xfId="0" applyNumberFormat="1" applyFont="1" applyFill="1" applyBorder="1" applyAlignment="1">
      <alignment horizontal="center" vertical="center"/>
    </xf>
    <xf numFmtId="3" fontId="11" fillId="6" borderId="3" xfId="0" applyNumberFormat="1" applyFont="1" applyFill="1" applyBorder="1" applyAlignment="1">
      <alignment horizontal="center" vertical="center"/>
    </xf>
    <xf numFmtId="3" fontId="0" fillId="0" borderId="3" xfId="0" applyNumberFormat="1" applyBorder="1" applyAlignment="1">
      <alignment horizontal="center" vertical="center"/>
    </xf>
    <xf numFmtId="3" fontId="11" fillId="5" borderId="3" xfId="0" applyNumberFormat="1" applyFont="1" applyFill="1" applyBorder="1" applyAlignment="1">
      <alignment horizontal="center" vertical="center"/>
    </xf>
    <xf numFmtId="3" fontId="0" fillId="0" borderId="1" xfId="0" applyNumberFormat="1" applyBorder="1" applyAlignment="1">
      <alignment horizontal="center" vertical="center"/>
    </xf>
    <xf numFmtId="3" fontId="0" fillId="6" borderId="1" xfId="0" applyNumberFormat="1" applyFill="1" applyBorder="1" applyAlignment="1">
      <alignment horizontal="center" vertical="center"/>
    </xf>
    <xf numFmtId="3" fontId="0" fillId="6" borderId="2" xfId="0" applyNumberFormat="1" applyFill="1" applyBorder="1" applyAlignment="1">
      <alignment horizontal="center" vertical="center"/>
    </xf>
    <xf numFmtId="3" fontId="0" fillId="5" borderId="2" xfId="0" applyNumberFormat="1" applyFill="1" applyBorder="1" applyAlignment="1">
      <alignment horizontal="center" vertical="center"/>
    </xf>
    <xf numFmtId="1" fontId="11" fillId="0" borderId="1" xfId="0" applyNumberFormat="1" applyFont="1" applyBorder="1" applyAlignment="1">
      <alignment horizontal="center" vertical="center"/>
    </xf>
    <xf numFmtId="1" fontId="11" fillId="0" borderId="2" xfId="0" applyNumberFormat="1" applyFont="1" applyBorder="1" applyAlignment="1">
      <alignment horizontal="center" vertical="center"/>
    </xf>
    <xf numFmtId="1" fontId="13" fillId="0" borderId="1" xfId="0" applyNumberFormat="1" applyFont="1" applyBorder="1" applyAlignment="1">
      <alignment horizontal="center" vertical="center"/>
    </xf>
    <xf numFmtId="1" fontId="11" fillId="0" borderId="3" xfId="0" applyNumberFormat="1" applyFont="1" applyBorder="1" applyAlignment="1">
      <alignment horizontal="center" vertical="center"/>
    </xf>
    <xf numFmtId="1" fontId="11" fillId="6" borderId="3" xfId="0" applyNumberFormat="1" applyFont="1" applyFill="1" applyBorder="1" applyAlignment="1">
      <alignment horizontal="center" vertical="center"/>
    </xf>
    <xf numFmtId="1" fontId="11" fillId="5" borderId="2" xfId="0" applyNumberFormat="1" applyFont="1" applyFill="1" applyBorder="1" applyAlignment="1">
      <alignment horizontal="center" vertical="center"/>
    </xf>
    <xf numFmtId="0" fontId="0" fillId="7" borderId="3" xfId="0" applyFill="1" applyBorder="1" applyAlignment="1">
      <alignment horizontal="left" vertical="center"/>
    </xf>
    <xf numFmtId="3" fontId="11" fillId="7" borderId="3" xfId="0" applyNumberFormat="1" applyFont="1" applyFill="1" applyBorder="1" applyAlignment="1">
      <alignment horizontal="center" vertical="center"/>
    </xf>
    <xf numFmtId="0" fontId="11" fillId="7" borderId="3" xfId="0" applyFont="1" applyFill="1" applyBorder="1" applyAlignment="1">
      <alignment horizontal="left" vertical="center"/>
    </xf>
    <xf numFmtId="1" fontId="11" fillId="6" borderId="2" xfId="0" applyNumberFormat="1" applyFont="1" applyFill="1" applyBorder="1" applyAlignment="1">
      <alignment horizontal="center" vertical="center"/>
    </xf>
    <xf numFmtId="0" fontId="11" fillId="6" borderId="1" xfId="0" applyFont="1" applyFill="1" applyBorder="1" applyAlignment="1">
      <alignment horizontal="center" vertical="center" wrapText="1"/>
    </xf>
    <xf numFmtId="0" fontId="0" fillId="0" borderId="0" xfId="0" applyAlignment="1">
      <alignment horizontal="center" vertical="center"/>
    </xf>
    <xf numFmtId="0" fontId="0" fillId="6" borderId="0" xfId="0" applyFill="1" applyAlignment="1">
      <alignment horizontal="center" vertical="center"/>
    </xf>
    <xf numFmtId="0" fontId="0" fillId="5" borderId="0" xfId="0" applyFill="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wrapText="1"/>
    </xf>
    <xf numFmtId="0" fontId="15" fillId="0" borderId="1" xfId="0" applyFont="1" applyBorder="1" applyAlignment="1">
      <alignment horizontal="center" vertical="center"/>
    </xf>
    <xf numFmtId="0" fontId="15" fillId="0" borderId="2" xfId="0" applyFont="1" applyBorder="1" applyAlignment="1">
      <alignment horizontal="center" vertical="center"/>
    </xf>
    <xf numFmtId="3" fontId="15" fillId="0" borderId="1" xfId="0" applyNumberFormat="1" applyFont="1" applyBorder="1" applyAlignment="1">
      <alignment horizontal="center" vertical="center" wrapText="1"/>
    </xf>
    <xf numFmtId="0" fontId="15" fillId="0" borderId="3" xfId="0" applyFont="1" applyBorder="1" applyAlignment="1">
      <alignment horizontal="center" vertical="center"/>
    </xf>
    <xf numFmtId="3" fontId="15" fillId="0" borderId="0" xfId="3" applyNumberFormat="1" applyFont="1" applyFill="1" applyBorder="1" applyAlignment="1">
      <alignment horizontal="center" vertical="center" wrapText="1"/>
    </xf>
    <xf numFmtId="0" fontId="15" fillId="6" borderId="2" xfId="0" applyFont="1" applyFill="1" applyBorder="1" applyAlignment="1">
      <alignment horizontal="center" vertical="center"/>
    </xf>
    <xf numFmtId="3" fontId="15" fillId="0" borderId="3" xfId="0" applyNumberFormat="1" applyFont="1" applyBorder="1" applyAlignment="1">
      <alignment horizontal="center" vertical="center"/>
    </xf>
    <xf numFmtId="0" fontId="15" fillId="6" borderId="3" xfId="0" applyFont="1" applyFill="1" applyBorder="1" applyAlignment="1">
      <alignment horizontal="center" vertical="center"/>
    </xf>
    <xf numFmtId="0" fontId="15" fillId="5" borderId="2" xfId="0" applyFont="1" applyFill="1" applyBorder="1" applyAlignment="1">
      <alignment horizontal="center" vertical="center"/>
    </xf>
    <xf numFmtId="0" fontId="15" fillId="5" borderId="1" xfId="0" applyFont="1" applyFill="1" applyBorder="1" applyAlignment="1">
      <alignment horizontal="center" vertical="center"/>
    </xf>
    <xf numFmtId="0" fontId="15" fillId="5" borderId="3" xfId="0" applyFont="1" applyFill="1" applyBorder="1" applyAlignment="1">
      <alignment horizontal="center" vertical="center"/>
    </xf>
    <xf numFmtId="0" fontId="15" fillId="7" borderId="3" xfId="0" applyFont="1" applyFill="1" applyBorder="1" applyAlignment="1">
      <alignment horizontal="center" vertical="center"/>
    </xf>
    <xf numFmtId="0" fontId="15" fillId="6" borderId="1" xfId="0" applyFont="1" applyFill="1" applyBorder="1" applyAlignment="1">
      <alignment horizontal="center" vertical="center"/>
    </xf>
    <xf numFmtId="0" fontId="0" fillId="0" borderId="1" xfId="0" applyBorder="1" applyAlignment="1">
      <alignment vertical="center"/>
    </xf>
    <xf numFmtId="0" fontId="0" fillId="0" borderId="0" xfId="0" applyAlignment="1">
      <alignment vertical="center"/>
    </xf>
    <xf numFmtId="0" fontId="0" fillId="0" borderId="2" xfId="0" applyBorder="1" applyAlignment="1">
      <alignment vertical="center"/>
    </xf>
    <xf numFmtId="0" fontId="0" fillId="6" borderId="1" xfId="0" applyFill="1" applyBorder="1" applyAlignment="1">
      <alignment vertical="center"/>
    </xf>
    <xf numFmtId="0" fontId="0" fillId="6" borderId="2" xfId="0" applyFill="1" applyBorder="1" applyAlignment="1">
      <alignment vertical="center"/>
    </xf>
    <xf numFmtId="0" fontId="0" fillId="6" borderId="0" xfId="0" applyFill="1" applyAlignment="1">
      <alignment horizontal="left" vertical="center"/>
    </xf>
    <xf numFmtId="0" fontId="0" fillId="7" borderId="0" xfId="0" applyFill="1" applyAlignment="1">
      <alignment horizontal="center" vertical="center"/>
    </xf>
    <xf numFmtId="0" fontId="0" fillId="6" borderId="0" xfId="0" applyFill="1" applyAlignment="1">
      <alignment vertical="center"/>
    </xf>
    <xf numFmtId="0" fontId="12" fillId="0" borderId="1" xfId="0" applyFont="1" applyBorder="1" applyAlignment="1">
      <alignment vertical="center"/>
    </xf>
    <xf numFmtId="0" fontId="0" fillId="0" borderId="0" xfId="0" applyAlignment="1">
      <alignment horizontal="left" vertical="center"/>
    </xf>
    <xf numFmtId="3" fontId="11" fillId="0" borderId="0" xfId="0" applyNumberFormat="1" applyFont="1" applyAlignment="1">
      <alignment horizontal="center" vertical="center"/>
    </xf>
    <xf numFmtId="1" fontId="11" fillId="0" borderId="0" xfId="0" applyNumberFormat="1" applyFont="1" applyAlignment="1">
      <alignment horizontal="center" vertical="center"/>
    </xf>
    <xf numFmtId="0" fontId="15" fillId="0" borderId="0" xfId="0" applyFont="1" applyAlignment="1">
      <alignment horizontal="center" vertical="center"/>
    </xf>
    <xf numFmtId="0" fontId="2" fillId="0" borderId="0" xfId="0" applyFont="1" applyAlignment="1">
      <alignment horizontal="center" vertical="center"/>
    </xf>
    <xf numFmtId="0" fontId="7" fillId="0" borderId="0" xfId="0" applyFont="1" applyAlignment="1">
      <alignment horizontal="center" vertical="center" wrapText="1"/>
    </xf>
    <xf numFmtId="3" fontId="8" fillId="0" borderId="0" xfId="0" applyNumberFormat="1" applyFont="1" applyAlignment="1">
      <alignment horizontal="center" vertical="center"/>
    </xf>
    <xf numFmtId="0" fontId="14" fillId="0" borderId="0" xfId="0" applyFont="1" applyAlignment="1">
      <alignment horizontal="center" vertical="center" wrapText="1"/>
    </xf>
    <xf numFmtId="0" fontId="7" fillId="0" borderId="0" xfId="0" applyFont="1" applyAlignment="1">
      <alignment horizontal="left" vertical="center"/>
    </xf>
    <xf numFmtId="0" fontId="0" fillId="5" borderId="0" xfId="0" applyFill="1" applyAlignment="1">
      <alignment horizontal="left" vertical="center"/>
    </xf>
    <xf numFmtId="0" fontId="3" fillId="0" borderId="0" xfId="0" applyFont="1" applyAlignment="1">
      <alignment horizontal="center" vertical="center"/>
    </xf>
    <xf numFmtId="3" fontId="11" fillId="0" borderId="0" xfId="0" applyNumberFormat="1" applyFont="1" applyAlignment="1">
      <alignment horizontal="center" vertical="center" wrapText="1"/>
    </xf>
    <xf numFmtId="1" fontId="11" fillId="0" borderId="0" xfId="0" applyNumberFormat="1" applyFont="1" applyAlignment="1">
      <alignment horizontal="center" vertical="center" wrapText="1"/>
    </xf>
    <xf numFmtId="0" fontId="15" fillId="0" borderId="0" xfId="0" applyFont="1" applyAlignment="1">
      <alignment horizontal="center" vertical="center" wrapText="1"/>
    </xf>
    <xf numFmtId="0" fontId="12" fillId="0" borderId="0" xfId="0" applyFont="1" applyAlignment="1">
      <alignment vertical="center"/>
    </xf>
    <xf numFmtId="0" fontId="11" fillId="0" borderId="0" xfId="0" applyFont="1" applyAlignment="1">
      <alignment horizontal="left" vertical="center"/>
    </xf>
    <xf numFmtId="3" fontId="11" fillId="5" borderId="0" xfId="0" applyNumberFormat="1" applyFont="1" applyFill="1" applyAlignment="1">
      <alignment horizontal="center" vertical="center" wrapText="1"/>
    </xf>
    <xf numFmtId="1" fontId="11" fillId="5" borderId="0" xfId="0" applyNumberFormat="1" applyFont="1" applyFill="1" applyAlignment="1">
      <alignment horizontal="center" vertical="center" wrapText="1"/>
    </xf>
    <xf numFmtId="0" fontId="15" fillId="5" borderId="0" xfId="0" applyFont="1" applyFill="1" applyAlignment="1">
      <alignment horizontal="center" vertical="center" wrapText="1"/>
    </xf>
    <xf numFmtId="3" fontId="12" fillId="5" borderId="0" xfId="0" applyNumberFormat="1" applyFont="1" applyFill="1" applyAlignment="1">
      <alignment horizontal="center" vertical="center" wrapText="1"/>
    </xf>
    <xf numFmtId="0" fontId="11" fillId="5" borderId="0" xfId="0" applyFont="1" applyFill="1" applyAlignment="1">
      <alignment horizontal="left" vertical="center"/>
    </xf>
    <xf numFmtId="0" fontId="11" fillId="5" borderId="0" xfId="0" applyFont="1" applyFill="1" applyAlignment="1">
      <alignment horizontal="center" vertical="center" wrapText="1"/>
    </xf>
    <xf numFmtId="1" fontId="13" fillId="0" borderId="0" xfId="0" applyNumberFormat="1" applyFont="1" applyAlignment="1">
      <alignment horizontal="center" vertical="center" wrapText="1"/>
    </xf>
    <xf numFmtId="0" fontId="12" fillId="0" borderId="0" xfId="0" applyFont="1" applyAlignment="1">
      <alignment horizontal="center" vertical="center" wrapText="1"/>
    </xf>
    <xf numFmtId="0" fontId="2" fillId="0" borderId="0" xfId="0" applyFont="1" applyAlignment="1">
      <alignment horizontal="center" vertical="center" wrapText="1"/>
    </xf>
    <xf numFmtId="0" fontId="0" fillId="0" borderId="0" xfId="0" applyAlignment="1">
      <alignment horizontal="left" vertical="center" wrapText="1"/>
    </xf>
    <xf numFmtId="0" fontId="12" fillId="0" borderId="0" xfId="0" applyFont="1" applyAlignment="1">
      <alignment horizontal="left" vertical="center" wrapText="1"/>
    </xf>
    <xf numFmtId="49" fontId="0" fillId="0" borderId="0" xfId="0" applyNumberFormat="1" applyAlignment="1">
      <alignment horizontal="left" vertical="center" wrapText="1"/>
    </xf>
    <xf numFmtId="14" fontId="0" fillId="4" borderId="0" xfId="0" applyNumberFormat="1" applyFill="1" applyAlignment="1">
      <alignment horizontal="left" vertical="center" wrapText="1"/>
    </xf>
    <xf numFmtId="0" fontId="0" fillId="6" borderId="0" xfId="0" applyFill="1" applyAlignment="1">
      <alignment horizontal="center" vertical="center" wrapText="1"/>
    </xf>
    <xf numFmtId="3" fontId="11" fillId="6" borderId="0" xfId="0" applyNumberFormat="1" applyFont="1" applyFill="1" applyAlignment="1">
      <alignment horizontal="center" vertical="center"/>
    </xf>
    <xf numFmtId="0" fontId="15" fillId="6" borderId="0" xfId="0" applyFont="1" applyFill="1" applyAlignment="1">
      <alignment horizontal="center" vertical="center"/>
    </xf>
    <xf numFmtId="1" fontId="11" fillId="6" borderId="0" xfId="0" applyNumberFormat="1" applyFont="1" applyFill="1" applyAlignment="1">
      <alignment horizontal="center" vertical="center"/>
    </xf>
    <xf numFmtId="3" fontId="11" fillId="5" borderId="0" xfId="0" applyNumberFormat="1" applyFont="1" applyFill="1" applyAlignment="1">
      <alignment horizontal="center" vertical="center"/>
    </xf>
    <xf numFmtId="1" fontId="11" fillId="5" borderId="0" xfId="0" applyNumberFormat="1" applyFont="1" applyFill="1" applyAlignment="1">
      <alignment horizontal="center" vertical="center"/>
    </xf>
    <xf numFmtId="0" fontId="15" fillId="5" borderId="0" xfId="0" applyFont="1" applyFill="1" applyAlignment="1">
      <alignment horizontal="center" vertical="center"/>
    </xf>
    <xf numFmtId="0" fontId="2" fillId="5" borderId="0" xfId="0" applyFont="1" applyFill="1" applyAlignment="1">
      <alignment horizontal="center" vertical="center"/>
    </xf>
    <xf numFmtId="3" fontId="0" fillId="0" borderId="0" xfId="0" applyNumberFormat="1" applyAlignment="1">
      <alignment horizontal="center" vertical="center"/>
    </xf>
    <xf numFmtId="3" fontId="0" fillId="5" borderId="0" xfId="0" applyNumberFormat="1" applyFill="1" applyAlignment="1">
      <alignment horizontal="center" vertical="center"/>
    </xf>
    <xf numFmtId="0" fontId="11" fillId="6" borderId="0" xfId="0" applyFont="1" applyFill="1" applyAlignment="1">
      <alignment horizontal="left" vertical="center"/>
    </xf>
    <xf numFmtId="3" fontId="0" fillId="6" borderId="0" xfId="0" applyNumberFormat="1" applyFill="1" applyAlignment="1">
      <alignment horizontal="center" vertical="center"/>
    </xf>
    <xf numFmtId="3" fontId="0" fillId="5" borderId="3" xfId="0" applyNumberFormat="1" applyFill="1" applyBorder="1" applyAlignment="1">
      <alignment horizontal="center" vertical="center"/>
    </xf>
    <xf numFmtId="0" fontId="11" fillId="6" borderId="3" xfId="0" applyFont="1" applyFill="1" applyBorder="1" applyAlignment="1">
      <alignment horizontal="left" vertical="center"/>
    </xf>
    <xf numFmtId="3" fontId="0" fillId="6" borderId="3" xfId="0" applyNumberFormat="1" applyFill="1" applyBorder="1" applyAlignment="1">
      <alignment horizontal="center" vertical="center"/>
    </xf>
    <xf numFmtId="0" fontId="11" fillId="5" borderId="1" xfId="0" applyFont="1" applyFill="1" applyBorder="1" applyAlignment="1">
      <alignment horizontal="left" vertical="center"/>
    </xf>
    <xf numFmtId="3" fontId="0" fillId="5" borderId="1" xfId="0" applyNumberFormat="1" applyFill="1" applyBorder="1" applyAlignment="1">
      <alignment horizontal="center" vertical="center"/>
    </xf>
    <xf numFmtId="1" fontId="11" fillId="5" borderId="3" xfId="0" applyNumberFormat="1" applyFont="1" applyFill="1" applyBorder="1" applyAlignment="1">
      <alignment horizontal="center" vertical="center"/>
    </xf>
    <xf numFmtId="0" fontId="2" fillId="0" borderId="1" xfId="0" applyFont="1" applyBorder="1" applyAlignment="1">
      <alignment horizontal="left" vertical="center"/>
    </xf>
    <xf numFmtId="49" fontId="0" fillId="0" borderId="3" xfId="0" applyNumberFormat="1" applyBorder="1" applyAlignment="1">
      <alignment horizontal="center" vertical="center"/>
    </xf>
    <xf numFmtId="3" fontId="11" fillId="0" borderId="3" xfId="0" applyNumberFormat="1" applyFont="1" applyBorder="1" applyAlignment="1">
      <alignment horizontal="center" vertical="center" wrapText="1"/>
    </xf>
    <xf numFmtId="1" fontId="13" fillId="0" borderId="3" xfId="0" applyNumberFormat="1" applyFont="1" applyBorder="1" applyAlignment="1">
      <alignment horizontal="center" vertical="center" wrapText="1"/>
    </xf>
    <xf numFmtId="3" fontId="15" fillId="0" borderId="3" xfId="0" applyNumberFormat="1" applyFont="1" applyBorder="1" applyAlignment="1">
      <alignment horizontal="center" vertical="center" wrapText="1"/>
    </xf>
    <xf numFmtId="14" fontId="0" fillId="0" borderId="3" xfId="0" applyNumberFormat="1" applyBorder="1" applyAlignment="1">
      <alignment horizontal="left" vertical="center"/>
    </xf>
    <xf numFmtId="1" fontId="11" fillId="0" borderId="1" xfId="0" applyNumberFormat="1" applyFont="1" applyBorder="1" applyAlignment="1">
      <alignment horizontal="center" vertical="center" wrapText="1"/>
    </xf>
    <xf numFmtId="0" fontId="15" fillId="0" borderId="1" xfId="0" applyFont="1" applyBorder="1" applyAlignment="1">
      <alignment horizontal="center" vertical="center" wrapText="1"/>
    </xf>
    <xf numFmtId="49" fontId="0" fillId="0" borderId="3" xfId="0" applyNumberFormat="1" applyBorder="1" applyAlignment="1">
      <alignment horizontal="left" vertical="center"/>
    </xf>
    <xf numFmtId="0" fontId="11" fillId="0" borderId="0" xfId="0" applyFont="1" applyAlignment="1">
      <alignment horizontal="center" vertical="center" wrapText="1"/>
    </xf>
    <xf numFmtId="0" fontId="11" fillId="6" borderId="0" xfId="0" applyFont="1" applyFill="1" applyAlignment="1">
      <alignment horizontal="center" vertical="center" wrapText="1"/>
    </xf>
    <xf numFmtId="1" fontId="11" fillId="0" borderId="2" xfId="2" applyNumberFormat="1" applyFont="1" applyFill="1" applyBorder="1" applyAlignment="1">
      <alignment horizontal="center" vertical="center"/>
    </xf>
    <xf numFmtId="3" fontId="11" fillId="6" borderId="1" xfId="0" applyNumberFormat="1" applyFont="1" applyFill="1" applyBorder="1" applyAlignment="1">
      <alignment horizontal="center" vertical="center"/>
    </xf>
    <xf numFmtId="0" fontId="0" fillId="5" borderId="0" xfId="0" applyFill="1" applyAlignment="1">
      <alignment horizontal="center" vertical="center" wrapText="1"/>
    </xf>
    <xf numFmtId="0" fontId="0" fillId="6" borderId="1" xfId="0" applyFill="1" applyBorder="1" applyAlignment="1">
      <alignment horizontal="center" vertical="center" wrapText="1"/>
    </xf>
    <xf numFmtId="0" fontId="0" fillId="5" borderId="2" xfId="0" applyFill="1" applyBorder="1" applyAlignment="1">
      <alignment horizontal="center" vertical="center" wrapText="1"/>
    </xf>
    <xf numFmtId="0" fontId="0" fillId="5" borderId="1" xfId="0" applyFill="1" applyBorder="1" applyAlignment="1">
      <alignment horizontal="center" vertical="center" wrapText="1"/>
    </xf>
    <xf numFmtId="0" fontId="0" fillId="5" borderId="3" xfId="0" applyFill="1" applyBorder="1" applyAlignment="1">
      <alignment horizontal="center" vertical="center" wrapText="1"/>
    </xf>
    <xf numFmtId="0" fontId="0" fillId="7" borderId="3" xfId="0" applyFill="1" applyBorder="1" applyAlignment="1">
      <alignment horizontal="center" vertical="center" wrapText="1"/>
    </xf>
    <xf numFmtId="0" fontId="12" fillId="0" borderId="1" xfId="0" applyFont="1" applyBorder="1" applyAlignment="1">
      <alignment horizontal="center" vertical="center" wrapText="1"/>
    </xf>
    <xf numFmtId="0" fontId="11" fillId="6" borderId="2" xfId="0" applyFont="1" applyFill="1" applyBorder="1" applyAlignment="1">
      <alignment horizontal="center" vertical="center" wrapText="1"/>
    </xf>
    <xf numFmtId="0" fontId="0" fillId="9" borderId="2" xfId="0" applyFill="1" applyBorder="1" applyAlignment="1">
      <alignment horizontal="center" vertical="center"/>
    </xf>
    <xf numFmtId="0" fontId="12" fillId="9" borderId="1" xfId="0" applyFont="1" applyFill="1" applyBorder="1" applyAlignment="1">
      <alignment horizontal="center" vertical="center"/>
    </xf>
    <xf numFmtId="0" fontId="0" fillId="9" borderId="0" xfId="0" applyFill="1" applyAlignment="1">
      <alignment horizontal="left" vertical="center"/>
    </xf>
    <xf numFmtId="1" fontId="8" fillId="0" borderId="0" xfId="0" applyNumberFormat="1" applyFont="1" applyAlignment="1">
      <alignment horizontal="center" vertical="center"/>
    </xf>
    <xf numFmtId="1" fontId="11" fillId="6" borderId="1" xfId="0" applyNumberFormat="1" applyFont="1" applyFill="1" applyBorder="1" applyAlignment="1">
      <alignment horizontal="center" vertical="center"/>
    </xf>
    <xf numFmtId="1" fontId="11" fillId="5" borderId="1" xfId="0" applyNumberFormat="1" applyFont="1" applyFill="1" applyBorder="1" applyAlignment="1">
      <alignment horizontal="center" vertical="center"/>
    </xf>
    <xf numFmtId="1" fontId="11" fillId="7" borderId="3" xfId="0" applyNumberFormat="1" applyFont="1" applyFill="1" applyBorder="1" applyAlignment="1">
      <alignment horizontal="center" vertical="center"/>
    </xf>
    <xf numFmtId="3" fontId="15" fillId="0" borderId="0" xfId="0" applyNumberFormat="1" applyFont="1" applyAlignment="1">
      <alignment horizontal="center" vertical="center"/>
    </xf>
    <xf numFmtId="49" fontId="0" fillId="0" borderId="0" xfId="0" applyNumberFormat="1"/>
    <xf numFmtId="0" fontId="0" fillId="9" borderId="0" xfId="0" applyFill="1" applyAlignment="1">
      <alignment horizontal="center" vertical="center"/>
    </xf>
    <xf numFmtId="0" fontId="0" fillId="10" borderId="1" xfId="0" applyFill="1" applyBorder="1" applyAlignment="1">
      <alignment horizontal="left" vertical="center"/>
    </xf>
    <xf numFmtId="0" fontId="0" fillId="10" borderId="0" xfId="0" applyFill="1" applyAlignment="1">
      <alignment horizontal="center" vertical="center"/>
    </xf>
    <xf numFmtId="0" fontId="0" fillId="10" borderId="2" xfId="0" applyFill="1" applyBorder="1" applyAlignment="1">
      <alignment horizontal="left" vertical="center"/>
    </xf>
    <xf numFmtId="0" fontId="0" fillId="9" borderId="3" xfId="0" applyFill="1" applyBorder="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left" vertical="center" wrapText="1"/>
    </xf>
    <xf numFmtId="0" fontId="0" fillId="10" borderId="0" xfId="0" applyFill="1" applyAlignment="1">
      <alignment horizontal="left" vertical="center"/>
    </xf>
    <xf numFmtId="3" fontId="11" fillId="10" borderId="0" xfId="0" applyNumberFormat="1" applyFont="1" applyFill="1" applyAlignment="1">
      <alignment horizontal="center" vertical="center"/>
    </xf>
    <xf numFmtId="1" fontId="11" fillId="10" borderId="0" xfId="0" applyNumberFormat="1" applyFont="1" applyFill="1" applyAlignment="1">
      <alignment horizontal="center" vertical="center"/>
    </xf>
    <xf numFmtId="0" fontId="15" fillId="10" borderId="0" xfId="0" applyFont="1" applyFill="1" applyAlignment="1">
      <alignment horizontal="center" vertical="center"/>
    </xf>
    <xf numFmtId="0" fontId="2" fillId="10" borderId="0" xfId="0" applyFont="1" applyFill="1" applyAlignment="1">
      <alignment horizontal="center" vertical="center"/>
    </xf>
    <xf numFmtId="0" fontId="0" fillId="0" borderId="6" xfId="0" applyBorder="1" applyAlignment="1">
      <alignment horizontal="center" vertical="center"/>
    </xf>
    <xf numFmtId="0" fontId="0" fillId="11" borderId="4" xfId="0" applyFill="1" applyBorder="1" applyAlignment="1">
      <alignment horizontal="center" vertical="center"/>
    </xf>
    <xf numFmtId="0" fontId="0" fillId="13" borderId="4" xfId="0" applyFill="1" applyBorder="1" applyAlignment="1">
      <alignment horizontal="center" vertical="center"/>
    </xf>
    <xf numFmtId="1" fontId="15" fillId="0" borderId="2" xfId="0" applyNumberFormat="1" applyFont="1" applyBorder="1" applyAlignment="1">
      <alignment horizontal="center" vertical="center"/>
    </xf>
    <xf numFmtId="0" fontId="0" fillId="11" borderId="7" xfId="0" applyFill="1" applyBorder="1" applyAlignment="1">
      <alignment horizontal="center" vertical="center"/>
    </xf>
    <xf numFmtId="0" fontId="0" fillId="12" borderId="9" xfId="0" applyFill="1" applyBorder="1" applyAlignment="1">
      <alignment horizontal="center" vertical="center"/>
    </xf>
    <xf numFmtId="0" fontId="0" fillId="10" borderId="4" xfId="0" applyFill="1" applyBorder="1" applyAlignment="1">
      <alignment horizontal="center" vertical="center"/>
    </xf>
    <xf numFmtId="0" fontId="0" fillId="11" borderId="7" xfId="0" applyFill="1" applyBorder="1" applyAlignment="1">
      <alignment vertical="center"/>
    </xf>
    <xf numFmtId="0" fontId="0" fillId="11" borderId="8" xfId="0" applyFill="1" applyBorder="1" applyAlignment="1">
      <alignment vertical="center"/>
    </xf>
    <xf numFmtId="49" fontId="16" fillId="14" borderId="12" xfId="6" applyNumberFormat="1"/>
    <xf numFmtId="0" fontId="16" fillId="14" borderId="12" xfId="6"/>
    <xf numFmtId="164" fontId="16" fillId="14" borderId="12" xfId="6" applyNumberFormat="1"/>
    <xf numFmtId="14" fontId="0" fillId="0" borderId="0" xfId="0" applyNumberFormat="1"/>
    <xf numFmtId="0" fontId="9" fillId="3" borderId="0" xfId="3"/>
    <xf numFmtId="14" fontId="9" fillId="3" borderId="0" xfId="3" applyNumberFormat="1"/>
    <xf numFmtId="0" fontId="0" fillId="8" borderId="0" xfId="0" applyFill="1" applyAlignment="1">
      <alignment horizontal="left" vertical="center"/>
    </xf>
    <xf numFmtId="0" fontId="0" fillId="8" borderId="1" xfId="0" applyFill="1" applyBorder="1" applyAlignment="1">
      <alignment horizontal="left" vertical="center"/>
    </xf>
    <xf numFmtId="0" fontId="0" fillId="12" borderId="0" xfId="0" applyFill="1" applyAlignment="1">
      <alignment horizontal="center" vertical="center"/>
    </xf>
    <xf numFmtId="0" fontId="11" fillId="0" borderId="2" xfId="0" applyFont="1" applyBorder="1" applyAlignment="1">
      <alignment vertical="center"/>
    </xf>
    <xf numFmtId="49" fontId="0" fillId="0" borderId="0" xfId="0" applyNumberFormat="1" applyAlignment="1">
      <alignment horizontal="center" vertical="center"/>
    </xf>
    <xf numFmtId="49" fontId="0" fillId="0" borderId="0" xfId="0" applyNumberFormat="1" applyAlignment="1">
      <alignment horizontal="left" vertical="center"/>
    </xf>
    <xf numFmtId="0" fontId="0" fillId="0" borderId="5" xfId="0" applyBorder="1" applyAlignment="1">
      <alignment horizontal="center" vertical="center"/>
    </xf>
    <xf numFmtId="0" fontId="11" fillId="0" borderId="1" xfId="0" applyFont="1" applyBorder="1" applyAlignment="1">
      <alignment vertical="center"/>
    </xf>
    <xf numFmtId="0" fontId="11" fillId="0" borderId="0" xfId="0" applyFont="1" applyAlignment="1">
      <alignment vertical="center"/>
    </xf>
    <xf numFmtId="0" fontId="0" fillId="11" borderId="0" xfId="0" applyFill="1" applyAlignment="1">
      <alignment horizontal="center" vertical="center"/>
    </xf>
    <xf numFmtId="0" fontId="0" fillId="11" borderId="1" xfId="0" applyFill="1" applyBorder="1" applyAlignment="1">
      <alignment horizontal="center" vertical="center"/>
    </xf>
    <xf numFmtId="0" fontId="0" fillId="11" borderId="2" xfId="0" applyFill="1" applyBorder="1" applyAlignment="1">
      <alignment horizontal="center" vertical="center"/>
    </xf>
    <xf numFmtId="0" fontId="0" fillId="11" borderId="0" xfId="0" applyFill="1" applyAlignment="1">
      <alignment vertical="center"/>
    </xf>
    <xf numFmtId="0" fontId="0" fillId="11" borderId="0" xfId="0" applyFill="1" applyAlignment="1">
      <alignment horizontal="center" vertical="center" wrapText="1"/>
    </xf>
    <xf numFmtId="0" fontId="0" fillId="13" borderId="0" xfId="0" applyFill="1" applyAlignment="1">
      <alignment horizontal="center" vertical="center"/>
    </xf>
    <xf numFmtId="0" fontId="0" fillId="12" borderId="10" xfId="0" applyFill="1" applyBorder="1" applyAlignment="1">
      <alignment horizontal="center" vertical="center"/>
    </xf>
    <xf numFmtId="0" fontId="0" fillId="13" borderId="10" xfId="0" applyFill="1" applyBorder="1" applyAlignment="1">
      <alignment horizontal="center" vertical="center"/>
    </xf>
    <xf numFmtId="0" fontId="12" fillId="0" borderId="2" xfId="0" applyFont="1" applyBorder="1" applyAlignment="1">
      <alignment horizontal="center" vertical="center" wrapText="1"/>
    </xf>
    <xf numFmtId="1" fontId="13" fillId="0" borderId="2" xfId="0" applyNumberFormat="1" applyFont="1" applyBorder="1" applyAlignment="1">
      <alignment horizontal="center" vertical="center"/>
    </xf>
    <xf numFmtId="3" fontId="15" fillId="0" borderId="2" xfId="0" applyNumberFormat="1" applyFont="1" applyBorder="1" applyAlignment="1">
      <alignment horizontal="center" vertical="center" wrapText="1"/>
    </xf>
    <xf numFmtId="3" fontId="12" fillId="0" borderId="2" xfId="0" applyNumberFormat="1" applyFont="1" applyBorder="1" applyAlignment="1">
      <alignment horizontal="center" vertical="center" wrapText="1"/>
    </xf>
    <xf numFmtId="14" fontId="0" fillId="0" borderId="2" xfId="0" applyNumberFormat="1" applyBorder="1" applyAlignment="1">
      <alignment horizontal="left" vertical="center"/>
    </xf>
    <xf numFmtId="0" fontId="0" fillId="11" borderId="9" xfId="0" applyFill="1" applyBorder="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center" vertical="center"/>
    </xf>
    <xf numFmtId="0" fontId="18" fillId="0" borderId="0" xfId="0" applyFont="1" applyAlignment="1">
      <alignment horizontal="center" vertical="center" wrapText="1"/>
    </xf>
    <xf numFmtId="1" fontId="0" fillId="0" borderId="0" xfId="0" applyNumberFormat="1" applyAlignment="1">
      <alignment horizontal="center" vertical="center" wrapText="1"/>
    </xf>
    <xf numFmtId="0" fontId="0" fillId="0" borderId="0" xfId="0" applyAlignment="1">
      <alignment wrapText="1"/>
    </xf>
    <xf numFmtId="165" fontId="0" fillId="0" borderId="0" xfId="7" applyNumberFormat="1" applyFont="1" applyFill="1" applyBorder="1" applyAlignment="1">
      <alignment horizontal="center" vertical="center" wrapText="1"/>
    </xf>
    <xf numFmtId="165" fontId="0" fillId="0" borderId="0" xfId="7" applyNumberFormat="1" applyFont="1" applyFill="1" applyBorder="1" applyAlignment="1">
      <alignment horizontal="center" vertical="center"/>
    </xf>
    <xf numFmtId="14" fontId="0" fillId="0" borderId="0" xfId="0" applyNumberFormat="1" applyAlignment="1">
      <alignment horizontal="left" vertical="center" wrapText="1"/>
    </xf>
    <xf numFmtId="14" fontId="0" fillId="0" borderId="0" xfId="0" applyNumberFormat="1" applyAlignment="1">
      <alignment horizontal="left" vertical="center"/>
    </xf>
    <xf numFmtId="0" fontId="0" fillId="6" borderId="1" xfId="0" applyFill="1" applyBorder="1" applyAlignment="1">
      <alignment horizontal="center" vertical="center"/>
    </xf>
    <xf numFmtId="0" fontId="0" fillId="6" borderId="0" xfId="0" applyFill="1" applyAlignment="1">
      <alignment horizontal="center" vertical="center"/>
    </xf>
    <xf numFmtId="0" fontId="0" fillId="6" borderId="2" xfId="0" applyFill="1" applyBorder="1" applyAlignment="1">
      <alignment horizontal="center" vertical="center"/>
    </xf>
    <xf numFmtId="0" fontId="11" fillId="0" borderId="0" xfId="0" applyFont="1" applyAlignment="1">
      <alignment horizontal="center" vertical="center"/>
    </xf>
    <xf numFmtId="0" fontId="11" fillId="0" borderId="2" xfId="0" applyFont="1" applyBorder="1" applyAlignment="1">
      <alignment horizontal="center" vertical="center"/>
    </xf>
    <xf numFmtId="0" fontId="0" fillId="0" borderId="7" xfId="0" applyBorder="1" applyAlignment="1">
      <alignment horizontal="center" vertical="center"/>
    </xf>
    <xf numFmtId="0" fontId="0" fillId="0" borderId="9" xfId="0" applyBorder="1" applyAlignment="1">
      <alignment horizontal="center" vertical="center"/>
    </xf>
    <xf numFmtId="0" fontId="0" fillId="0" borderId="8" xfId="0" applyBorder="1" applyAlignment="1">
      <alignment horizontal="center" vertical="center"/>
    </xf>
    <xf numFmtId="0" fontId="0" fillId="0" borderId="0" xfId="0" applyAlignment="1">
      <alignment horizontal="center" vertical="center"/>
    </xf>
    <xf numFmtId="0" fontId="0" fillId="10" borderId="1" xfId="0" applyFill="1" applyBorder="1" applyAlignment="1">
      <alignment horizontal="center" vertical="center"/>
    </xf>
    <xf numFmtId="0" fontId="0" fillId="10" borderId="2" xfId="0" applyFill="1" applyBorder="1" applyAlignment="1">
      <alignment horizontal="center" vertical="center"/>
    </xf>
    <xf numFmtId="0" fontId="0" fillId="11" borderId="7" xfId="0" applyFill="1" applyBorder="1" applyAlignment="1">
      <alignment horizontal="center" vertical="center"/>
    </xf>
    <xf numFmtId="0" fontId="0" fillId="11" borderId="9" xfId="0" applyFill="1" applyBorder="1" applyAlignment="1">
      <alignment horizontal="center" vertical="center"/>
    </xf>
    <xf numFmtId="0" fontId="0" fillId="0" borderId="10" xfId="0" applyBorder="1" applyAlignment="1">
      <alignment horizontal="center" vertical="center"/>
    </xf>
    <xf numFmtId="0" fontId="0" fillId="10" borderId="10" xfId="0" applyFill="1" applyBorder="1" applyAlignment="1">
      <alignment horizontal="center" vertical="center"/>
    </xf>
    <xf numFmtId="0" fontId="0" fillId="12" borderId="7" xfId="0" applyFill="1" applyBorder="1" applyAlignment="1">
      <alignment horizontal="center" vertical="center"/>
    </xf>
    <xf numFmtId="0" fontId="0" fillId="12" borderId="8" xfId="0" applyFill="1" applyBorder="1" applyAlignment="1">
      <alignment horizontal="center" vertical="center"/>
    </xf>
    <xf numFmtId="0" fontId="0" fillId="12" borderId="9" xfId="0" applyFill="1" applyBorder="1" applyAlignment="1">
      <alignment horizontal="center" vertical="center"/>
    </xf>
    <xf numFmtId="0" fontId="0" fillId="13" borderId="7" xfId="0" applyFill="1" applyBorder="1" applyAlignment="1">
      <alignment horizontal="center" vertical="center"/>
    </xf>
    <xf numFmtId="0" fontId="0" fillId="13" borderId="8" xfId="0" applyFill="1" applyBorder="1" applyAlignment="1">
      <alignment horizontal="center" vertical="center"/>
    </xf>
    <xf numFmtId="0" fontId="0" fillId="13" borderId="9" xfId="0" applyFill="1" applyBorder="1" applyAlignment="1">
      <alignment horizontal="center" vertical="center"/>
    </xf>
    <xf numFmtId="0" fontId="0" fillId="11" borderId="8" xfId="0" applyFill="1" applyBorder="1" applyAlignment="1">
      <alignment horizontal="center" vertical="center"/>
    </xf>
    <xf numFmtId="0" fontId="0" fillId="11" borderId="11" xfId="0" applyFill="1" applyBorder="1" applyAlignment="1">
      <alignment horizontal="center" vertical="center"/>
    </xf>
    <xf numFmtId="0" fontId="0" fillId="11" borderId="0" xfId="0" applyFill="1" applyAlignment="1">
      <alignment horizontal="center" vertical="center"/>
    </xf>
    <xf numFmtId="0" fontId="0" fillId="11" borderId="7" xfId="0" applyFill="1" applyBorder="1" applyAlignment="1">
      <alignment horizontal="center" vertical="center" wrapText="1"/>
    </xf>
    <xf numFmtId="0" fontId="0" fillId="11" borderId="8" xfId="0" applyFill="1" applyBorder="1" applyAlignment="1">
      <alignment horizontal="center" vertical="center" wrapText="1"/>
    </xf>
    <xf numFmtId="0" fontId="0" fillId="11" borderId="9" xfId="0" applyFill="1" applyBorder="1" applyAlignment="1">
      <alignment horizontal="center" vertical="center" wrapText="1"/>
    </xf>
    <xf numFmtId="0" fontId="0" fillId="11" borderId="13" xfId="0" applyFill="1" applyBorder="1" applyAlignment="1">
      <alignment horizontal="center" vertical="center"/>
    </xf>
    <xf numFmtId="0" fontId="0" fillId="11" borderId="15" xfId="0" applyFill="1" applyBorder="1" applyAlignment="1">
      <alignment horizontal="center" vertical="center"/>
    </xf>
    <xf numFmtId="0" fontId="0" fillId="11" borderId="16" xfId="0" applyFill="1" applyBorder="1" applyAlignment="1">
      <alignment horizontal="center" vertical="center"/>
    </xf>
    <xf numFmtId="0" fontId="0" fillId="0" borderId="0" xfId="0" applyAlignment="1">
      <alignment horizontal="center" vertical="center" wrapText="1"/>
    </xf>
    <xf numFmtId="0" fontId="0" fillId="0" borderId="14" xfId="0" applyBorder="1" applyAlignment="1">
      <alignment horizontal="center" vertical="center"/>
    </xf>
    <xf numFmtId="0" fontId="0" fillId="0" borderId="17" xfId="0" applyBorder="1" applyAlignment="1">
      <alignment horizontal="center" vertical="center"/>
    </xf>
    <xf numFmtId="0" fontId="0" fillId="10" borderId="0" xfId="0" applyFill="1" applyAlignment="1">
      <alignment horizontal="center" vertical="center"/>
    </xf>
  </cellXfs>
  <cellStyles count="8">
    <cellStyle name="Bad" xfId="3" builtinId="27"/>
    <cellStyle name="Check Cell" xfId="6" builtinId="23"/>
    <cellStyle name="Comma" xfId="7" builtinId="3"/>
    <cellStyle name="Hyperlink 2" xfId="5" xr:uid="{4AD418A5-6B21-4422-B9ED-EB50BED72674}"/>
    <cellStyle name="Neutral" xfId="2" builtinId="28"/>
    <cellStyle name="Normal" xfId="0" builtinId="0"/>
    <cellStyle name="Normal 2" xfId="1" xr:uid="{B125D290-903A-4E7E-AB27-0875E362AF1A}"/>
    <cellStyle name="Normal 3" xfId="4" xr:uid="{44986C0C-270C-42D1-A9FC-70357F052B0B}"/>
  </cellStyles>
  <dxfs count="0"/>
  <tableStyles count="0" defaultTableStyle="TableStyleMedium2" defaultPivotStyle="PivotStyleLight16"/>
  <colors>
    <mruColors>
      <color rgb="FFFF5664"/>
      <color rgb="FFFF4B55"/>
      <color rgb="FFFFCCCC"/>
      <color rgb="FFCCCC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8E686-4F69-3E4A-952E-8F8D7F0979CB}">
  <dimension ref="A1:E81"/>
  <sheetViews>
    <sheetView tabSelected="1" workbookViewId="0">
      <pane ySplit="1" topLeftCell="A13" activePane="bottomLeft" state="frozen"/>
      <selection pane="bottomLeft" activeCell="A18" sqref="A18:XFD18"/>
    </sheetView>
  </sheetViews>
  <sheetFormatPr defaultColWidth="9.140625" defaultRowHeight="15"/>
  <cols>
    <col min="1" max="1" width="18.28515625" style="71" bestFit="1" customWidth="1"/>
    <col min="2" max="2" width="38.42578125" style="75" customWidth="1"/>
    <col min="3" max="4" width="30.140625" style="75" customWidth="1"/>
    <col min="5" max="5" width="17.7109375" style="71" bestFit="1" customWidth="1"/>
    <col min="6" max="16384" width="9.140625" style="71"/>
  </cols>
  <sheetData>
    <row r="1" spans="1:5" s="75" customFormat="1" ht="15.95">
      <c r="A1" s="75" t="s">
        <v>0</v>
      </c>
      <c r="B1" s="75" t="s">
        <v>1</v>
      </c>
      <c r="C1" s="75" t="s">
        <v>2</v>
      </c>
      <c r="D1" s="75" t="s">
        <v>3</v>
      </c>
      <c r="E1" s="75" t="s">
        <v>4</v>
      </c>
    </row>
    <row r="2" spans="1:5" s="75" customFormat="1" ht="32.1">
      <c r="A2" s="75" t="s">
        <v>5</v>
      </c>
      <c r="B2" s="75" t="s">
        <v>6</v>
      </c>
      <c r="C2" s="75" t="s">
        <v>7</v>
      </c>
      <c r="D2" s="75" t="s">
        <v>8</v>
      </c>
      <c r="E2" s="75" t="s">
        <v>9</v>
      </c>
    </row>
    <row r="3" spans="1:5" s="75" customFormat="1" ht="68.099999999999994" customHeight="1">
      <c r="A3" s="75" t="s">
        <v>10</v>
      </c>
      <c r="B3" s="75" t="s">
        <v>11</v>
      </c>
      <c r="C3" s="75" t="s">
        <v>12</v>
      </c>
      <c r="D3" s="75" t="s">
        <v>13</v>
      </c>
      <c r="E3" s="75" t="s">
        <v>14</v>
      </c>
    </row>
    <row r="4" spans="1:5" s="75" customFormat="1" ht="48">
      <c r="A4" s="75" t="s">
        <v>15</v>
      </c>
      <c r="B4" s="75" t="s">
        <v>16</v>
      </c>
      <c r="C4" s="75" t="s">
        <v>17</v>
      </c>
      <c r="D4" s="75" t="s">
        <v>18</v>
      </c>
      <c r="E4" s="75" t="s">
        <v>14</v>
      </c>
    </row>
    <row r="5" spans="1:5" s="75" customFormat="1" ht="15.95">
      <c r="A5" s="75" t="s">
        <v>19</v>
      </c>
      <c r="B5" s="75" t="s">
        <v>20</v>
      </c>
      <c r="C5" s="75" t="s">
        <v>21</v>
      </c>
      <c r="D5" s="75" t="s">
        <v>22</v>
      </c>
    </row>
    <row r="6" spans="1:5" s="75" customFormat="1" ht="15.95">
      <c r="A6" s="75" t="s">
        <v>23</v>
      </c>
      <c r="B6" s="75" t="s">
        <v>24</v>
      </c>
      <c r="C6" s="228" t="s">
        <v>25</v>
      </c>
      <c r="D6" s="75" t="s">
        <v>26</v>
      </c>
    </row>
    <row r="7" spans="1:5" s="75" customFormat="1" ht="15.95">
      <c r="A7" s="75" t="s">
        <v>27</v>
      </c>
      <c r="B7" s="75" t="s">
        <v>24</v>
      </c>
      <c r="C7" s="228" t="s">
        <v>25</v>
      </c>
      <c r="D7" s="75" t="s">
        <v>28</v>
      </c>
    </row>
    <row r="8" spans="1:5" s="75" customFormat="1" ht="15.95">
      <c r="A8" s="75" t="s">
        <v>29</v>
      </c>
      <c r="B8" s="75" t="s">
        <v>24</v>
      </c>
      <c r="C8" s="228" t="s">
        <v>25</v>
      </c>
      <c r="D8" s="75" t="s">
        <v>30</v>
      </c>
    </row>
    <row r="9" spans="1:5" s="75" customFormat="1" ht="32.1">
      <c r="A9" s="75" t="s">
        <v>31</v>
      </c>
      <c r="B9" s="75" t="s">
        <v>6</v>
      </c>
      <c r="C9" s="75" t="s">
        <v>32</v>
      </c>
      <c r="D9" s="75" t="s">
        <v>33</v>
      </c>
      <c r="E9" s="75" t="s">
        <v>14</v>
      </c>
    </row>
    <row r="10" spans="1:5" s="75" customFormat="1" ht="32.1">
      <c r="A10" s="75" t="s">
        <v>34</v>
      </c>
      <c r="B10" s="75" t="s">
        <v>6</v>
      </c>
      <c r="C10" s="75" t="s">
        <v>32</v>
      </c>
      <c r="D10" s="75" t="s">
        <v>35</v>
      </c>
      <c r="E10" s="75" t="s">
        <v>14</v>
      </c>
    </row>
    <row r="11" spans="1:5" s="75" customFormat="1" ht="15.95">
      <c r="A11" s="75" t="s">
        <v>36</v>
      </c>
      <c r="B11" s="75" t="s">
        <v>24</v>
      </c>
      <c r="C11" s="75" t="s">
        <v>25</v>
      </c>
      <c r="D11" s="75" t="s">
        <v>37</v>
      </c>
    </row>
    <row r="12" spans="1:5" s="75" customFormat="1" ht="15.95">
      <c r="A12" s="75" t="s">
        <v>38</v>
      </c>
    </row>
    <row r="13" spans="1:5" s="75" customFormat="1" ht="15.95">
      <c r="A13" s="75" t="s">
        <v>39</v>
      </c>
    </row>
    <row r="14" spans="1:5" s="75" customFormat="1" ht="15.95">
      <c r="A14" s="75" t="s">
        <v>40</v>
      </c>
    </row>
    <row r="15" spans="1:5" s="75" customFormat="1" ht="15.95">
      <c r="A15" s="75" t="s">
        <v>41</v>
      </c>
    </row>
    <row r="16" spans="1:5" s="75" customFormat="1" ht="15.95">
      <c r="A16" s="75" t="s">
        <v>42</v>
      </c>
    </row>
    <row r="17" spans="1:5" s="75" customFormat="1" ht="32.1">
      <c r="A17" s="75" t="s">
        <v>43</v>
      </c>
      <c r="B17" s="229" t="s">
        <v>44</v>
      </c>
      <c r="C17" s="75" t="s">
        <v>45</v>
      </c>
      <c r="D17" s="75" t="s">
        <v>46</v>
      </c>
    </row>
    <row r="18" spans="1:5" s="75" customFormat="1" ht="32.1">
      <c r="A18" s="75" t="s">
        <v>47</v>
      </c>
      <c r="B18" s="75" t="s">
        <v>48</v>
      </c>
      <c r="C18" s="75" t="s">
        <v>49</v>
      </c>
      <c r="D18" s="75" t="s">
        <v>50</v>
      </c>
    </row>
    <row r="19" spans="1:5" s="75" customFormat="1" ht="32.1">
      <c r="A19" s="75" t="s">
        <v>51</v>
      </c>
      <c r="B19" s="75" t="s">
        <v>52</v>
      </c>
    </row>
    <row r="20" spans="1:5" s="75" customFormat="1" ht="15.95">
      <c r="A20" s="75" t="s">
        <v>53</v>
      </c>
      <c r="B20" s="75" t="s">
        <v>24</v>
      </c>
      <c r="C20" s="75" t="s">
        <v>25</v>
      </c>
      <c r="D20" s="75" t="s">
        <v>54</v>
      </c>
    </row>
    <row r="21" spans="1:5" s="75" customFormat="1" ht="15.95">
      <c r="A21" s="75" t="s">
        <v>55</v>
      </c>
    </row>
    <row r="22" spans="1:5" s="75" customFormat="1" ht="32.1">
      <c r="A22" s="75" t="s">
        <v>56</v>
      </c>
      <c r="B22" s="75" t="s">
        <v>44</v>
      </c>
      <c r="C22" s="75" t="s">
        <v>45</v>
      </c>
      <c r="D22" s="75" t="s">
        <v>57</v>
      </c>
    </row>
    <row r="23" spans="1:5" s="75" customFormat="1" ht="15.95">
      <c r="A23" s="75" t="s">
        <v>58</v>
      </c>
    </row>
    <row r="24" spans="1:5" s="75" customFormat="1" ht="15.95">
      <c r="A24" s="75" t="s">
        <v>59</v>
      </c>
      <c r="B24" s="75" t="s">
        <v>60</v>
      </c>
      <c r="C24" s="75" t="s">
        <v>61</v>
      </c>
      <c r="D24" s="75" t="s">
        <v>62</v>
      </c>
    </row>
    <row r="25" spans="1:5" s="75" customFormat="1" ht="15.95">
      <c r="A25" s="75" t="s">
        <v>63</v>
      </c>
    </row>
    <row r="26" spans="1:5" s="75" customFormat="1" ht="32.1">
      <c r="A26" s="75" t="s">
        <v>64</v>
      </c>
      <c r="B26" s="75" t="s">
        <v>65</v>
      </c>
      <c r="C26" s="75" t="s">
        <v>66</v>
      </c>
      <c r="D26" s="75" t="s">
        <v>67</v>
      </c>
      <c r="E26" s="75" t="s">
        <v>68</v>
      </c>
    </row>
    <row r="27" spans="1:5" s="75" customFormat="1" ht="15.95">
      <c r="A27" s="75" t="s">
        <v>69</v>
      </c>
      <c r="B27" s="75" t="s">
        <v>24</v>
      </c>
      <c r="C27" s="75" t="s">
        <v>25</v>
      </c>
      <c r="D27" s="75" t="s">
        <v>70</v>
      </c>
    </row>
    <row r="28" spans="1:5" s="75" customFormat="1" ht="32.1">
      <c r="A28" s="75" t="s">
        <v>71</v>
      </c>
      <c r="B28" s="75" t="s">
        <v>72</v>
      </c>
      <c r="C28" s="75" t="s">
        <v>73</v>
      </c>
      <c r="D28" s="75" t="s">
        <v>74</v>
      </c>
    </row>
    <row r="29" spans="1:5" s="75" customFormat="1" ht="32.1">
      <c r="A29" s="75" t="s">
        <v>75</v>
      </c>
      <c r="B29" s="75" t="s">
        <v>76</v>
      </c>
      <c r="C29" s="75" t="s">
        <v>77</v>
      </c>
      <c r="D29" s="75" t="s">
        <v>78</v>
      </c>
    </row>
    <row r="30" spans="1:5" s="75" customFormat="1" ht="32.1">
      <c r="A30" s="75" t="s">
        <v>79</v>
      </c>
      <c r="B30" s="75" t="s">
        <v>76</v>
      </c>
      <c r="C30" s="75" t="s">
        <v>25</v>
      </c>
      <c r="D30" s="75" t="s">
        <v>80</v>
      </c>
      <c r="E30" s="75" t="s">
        <v>81</v>
      </c>
    </row>
    <row r="31" spans="1:5" s="75" customFormat="1" ht="32.1">
      <c r="A31" s="75" t="s">
        <v>82</v>
      </c>
      <c r="B31" s="75" t="s">
        <v>83</v>
      </c>
      <c r="E31" s="75" t="s">
        <v>84</v>
      </c>
    </row>
    <row r="32" spans="1:5" s="75" customFormat="1" ht="15.95">
      <c r="A32" s="75" t="s">
        <v>85</v>
      </c>
    </row>
    <row r="33" spans="1:5" s="75" customFormat="1" ht="15.95">
      <c r="A33" s="75" t="s">
        <v>86</v>
      </c>
      <c r="B33" s="75" t="s">
        <v>87</v>
      </c>
      <c r="C33" s="75" t="s">
        <v>88</v>
      </c>
    </row>
    <row r="34" spans="1:5" s="75" customFormat="1" ht="15.95">
      <c r="A34" s="75" t="s">
        <v>89</v>
      </c>
    </row>
    <row r="35" spans="1:5" s="75" customFormat="1" ht="32.1">
      <c r="A35" s="75" t="s">
        <v>90</v>
      </c>
      <c r="B35" s="75" t="s">
        <v>91</v>
      </c>
      <c r="C35" s="75" t="s">
        <v>92</v>
      </c>
      <c r="D35" s="75" t="s">
        <v>93</v>
      </c>
    </row>
    <row r="36" spans="1:5" s="75" customFormat="1" ht="32.1">
      <c r="A36" s="75" t="s">
        <v>94</v>
      </c>
      <c r="B36" s="75" t="s">
        <v>83</v>
      </c>
    </row>
    <row r="37" spans="1:5" s="75" customFormat="1" ht="15.95">
      <c r="A37" s="75" t="s">
        <v>95</v>
      </c>
      <c r="B37" s="75" t="s">
        <v>96</v>
      </c>
      <c r="E37" s="75" t="s">
        <v>68</v>
      </c>
    </row>
    <row r="38" spans="1:5" s="75" customFormat="1"/>
    <row r="39" spans="1:5" s="75" customFormat="1"/>
    <row r="40" spans="1:5" s="75" customFormat="1"/>
    <row r="41" spans="1:5" s="75" customFormat="1"/>
    <row r="42" spans="1:5" s="75" customFormat="1"/>
    <row r="43" spans="1:5" s="75" customFormat="1"/>
    <row r="44" spans="1:5" s="75" customFormat="1"/>
    <row r="45" spans="1:5" s="75" customFormat="1"/>
    <row r="46" spans="1:5" s="75" customFormat="1"/>
    <row r="47" spans="1:5" s="75" customFormat="1"/>
    <row r="48" spans="1:5" s="75" customFormat="1"/>
    <row r="49" s="75" customFormat="1"/>
    <row r="50" s="75" customFormat="1"/>
    <row r="51" s="75" customFormat="1"/>
    <row r="52" s="75" customFormat="1"/>
    <row r="53" s="75" customFormat="1"/>
    <row r="54" s="75" customFormat="1"/>
    <row r="55" s="75" customFormat="1"/>
    <row r="56" s="75" customFormat="1"/>
    <row r="57" s="75" customFormat="1"/>
    <row r="58" s="75" customFormat="1"/>
    <row r="59" s="75" customFormat="1"/>
    <row r="60" s="75" customFormat="1"/>
    <row r="61" s="75" customFormat="1"/>
    <row r="62" s="75" customFormat="1"/>
    <row r="63" s="75" customFormat="1"/>
    <row r="64" s="75" customFormat="1"/>
    <row r="65" spans="5:5" s="75" customFormat="1"/>
    <row r="66" spans="5:5" s="75" customFormat="1"/>
    <row r="67" spans="5:5" s="75" customFormat="1"/>
    <row r="68" spans="5:5" s="75" customFormat="1"/>
    <row r="69" spans="5:5" s="75" customFormat="1"/>
    <row r="70" spans="5:5" s="75" customFormat="1"/>
    <row r="71" spans="5:5" s="75" customFormat="1"/>
    <row r="72" spans="5:5" s="75" customFormat="1"/>
    <row r="73" spans="5:5" s="75" customFormat="1"/>
    <row r="74" spans="5:5" s="75" customFormat="1"/>
    <row r="75" spans="5:5" s="75" customFormat="1"/>
    <row r="76" spans="5:5" s="75" customFormat="1"/>
    <row r="77" spans="5:5" s="75" customFormat="1"/>
    <row r="78" spans="5:5" s="75" customFormat="1"/>
    <row r="79" spans="5:5">
      <c r="E79" s="75"/>
    </row>
    <row r="80" spans="5:5">
      <c r="E80" s="75"/>
    </row>
    <row r="81" spans="5:5">
      <c r="E81" s="75"/>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DEEC-A0CA-754E-BE2C-606FCEF2E9AF}">
  <dimension ref="A1:E79"/>
  <sheetViews>
    <sheetView zoomScale="83" workbookViewId="0">
      <pane ySplit="1" topLeftCell="A2" activePane="bottomLeft" state="frozen"/>
      <selection pane="bottomLeft" activeCell="A2" sqref="A2"/>
    </sheetView>
  </sheetViews>
  <sheetFormatPr defaultColWidth="9.140625" defaultRowHeight="15.95"/>
  <cols>
    <col min="1" max="1" width="18.28515625" style="226" bestFit="1" customWidth="1"/>
    <col min="2" max="2" width="13.140625" style="226" customWidth="1"/>
    <col min="3" max="3" width="25.7109375" style="226" bestFit="1" customWidth="1"/>
    <col min="4" max="4" width="9.28515625" style="226" customWidth="1"/>
    <col min="5" max="5" width="42.42578125" style="226" customWidth="1"/>
    <col min="6" max="16384" width="9.140625" style="226"/>
  </cols>
  <sheetData>
    <row r="1" spans="1:5" s="225" customFormat="1" ht="51">
      <c r="A1" s="225" t="s">
        <v>0</v>
      </c>
      <c r="B1" s="227" t="s">
        <v>97</v>
      </c>
      <c r="C1" s="227" t="s">
        <v>98</v>
      </c>
      <c r="D1" s="225" t="s">
        <v>99</v>
      </c>
      <c r="E1" s="225" t="s">
        <v>100</v>
      </c>
    </row>
    <row r="2" spans="1:5" s="225" customFormat="1" ht="113.25">
      <c r="A2" s="225" t="s">
        <v>5</v>
      </c>
      <c r="B2" s="225" t="s">
        <v>101</v>
      </c>
      <c r="C2" s="225">
        <v>16</v>
      </c>
      <c r="E2" s="225" t="s">
        <v>102</v>
      </c>
    </row>
    <row r="3" spans="1:5" s="225" customFormat="1" ht="68.099999999999994">
      <c r="A3" s="225" t="s">
        <v>10</v>
      </c>
      <c r="B3" s="225" t="s">
        <v>103</v>
      </c>
      <c r="C3" s="225">
        <v>31</v>
      </c>
      <c r="D3" s="225">
        <v>45</v>
      </c>
      <c r="E3" s="225" t="s">
        <v>104</v>
      </c>
    </row>
    <row r="4" spans="1:5" s="225" customFormat="1" ht="84.95">
      <c r="A4" s="225" t="s">
        <v>15</v>
      </c>
      <c r="B4" s="225" t="s">
        <v>103</v>
      </c>
      <c r="C4" s="225">
        <v>3</v>
      </c>
      <c r="D4" s="225">
        <v>43</v>
      </c>
      <c r="E4" s="225" t="s">
        <v>105</v>
      </c>
    </row>
    <row r="5" spans="1:5" s="225" customFormat="1" ht="17.100000000000001">
      <c r="A5" s="225" t="s">
        <v>19</v>
      </c>
      <c r="B5" s="225" t="s">
        <v>106</v>
      </c>
      <c r="C5" s="225">
        <v>3</v>
      </c>
      <c r="E5" s="225" t="s">
        <v>107</v>
      </c>
    </row>
    <row r="6" spans="1:5" s="225" customFormat="1" ht="17.100000000000001">
      <c r="A6" s="225" t="s">
        <v>23</v>
      </c>
      <c r="B6" s="225" t="s">
        <v>108</v>
      </c>
      <c r="E6" s="225" t="s">
        <v>109</v>
      </c>
    </row>
    <row r="7" spans="1:5" s="225" customFormat="1" ht="17.100000000000001">
      <c r="A7" s="225" t="s">
        <v>27</v>
      </c>
      <c r="B7" s="225" t="s">
        <v>108</v>
      </c>
      <c r="E7" s="225" t="s">
        <v>109</v>
      </c>
    </row>
    <row r="8" spans="1:5" s="225" customFormat="1" ht="17.100000000000001">
      <c r="A8" s="225" t="s">
        <v>29</v>
      </c>
      <c r="B8" s="225" t="s">
        <v>108</v>
      </c>
      <c r="E8" s="225" t="s">
        <v>109</v>
      </c>
    </row>
    <row r="9" spans="1:5" s="225" customFormat="1" ht="84.95">
      <c r="A9" s="225" t="s">
        <v>31</v>
      </c>
      <c r="B9" s="225" t="s">
        <v>110</v>
      </c>
      <c r="C9" s="225">
        <v>4</v>
      </c>
      <c r="D9" s="225" t="s">
        <v>111</v>
      </c>
      <c r="E9" s="225" t="s">
        <v>112</v>
      </c>
    </row>
    <row r="10" spans="1:5" s="225" customFormat="1" ht="68.099999999999994">
      <c r="A10" s="225" t="s">
        <v>34</v>
      </c>
      <c r="B10" s="225" t="s">
        <v>113</v>
      </c>
      <c r="C10" s="225">
        <v>4</v>
      </c>
      <c r="D10" s="225" t="s">
        <v>114</v>
      </c>
      <c r="E10" s="225" t="s">
        <v>115</v>
      </c>
    </row>
    <row r="11" spans="1:5" s="225" customFormat="1" ht="17.100000000000001">
      <c r="A11" s="225" t="s">
        <v>36</v>
      </c>
      <c r="B11" s="225" t="s">
        <v>108</v>
      </c>
      <c r="E11" s="225" t="s">
        <v>109</v>
      </c>
    </row>
    <row r="12" spans="1:5" s="225" customFormat="1" ht="17.100000000000001">
      <c r="A12" s="225" t="s">
        <v>38</v>
      </c>
      <c r="E12" s="225" t="s">
        <v>109</v>
      </c>
    </row>
    <row r="13" spans="1:5" s="225" customFormat="1" ht="17.100000000000001">
      <c r="A13" s="225" t="s">
        <v>39</v>
      </c>
      <c r="E13" s="225" t="s">
        <v>109</v>
      </c>
    </row>
    <row r="14" spans="1:5" s="225" customFormat="1" ht="17.100000000000001">
      <c r="A14" s="225" t="s">
        <v>40</v>
      </c>
      <c r="E14" s="225" t="s">
        <v>109</v>
      </c>
    </row>
    <row r="15" spans="1:5" s="225" customFormat="1" ht="17.100000000000001">
      <c r="A15" s="225" t="s">
        <v>41</v>
      </c>
      <c r="E15" s="225" t="s">
        <v>109</v>
      </c>
    </row>
    <row r="16" spans="1:5" s="225" customFormat="1" ht="17.100000000000001">
      <c r="A16" s="225" t="s">
        <v>42</v>
      </c>
      <c r="E16" s="225" t="s">
        <v>109</v>
      </c>
    </row>
    <row r="17" spans="1:5" s="225" customFormat="1" ht="119.1">
      <c r="A17" s="225" t="s">
        <v>43</v>
      </c>
      <c r="D17" s="225" t="s">
        <v>116</v>
      </c>
      <c r="E17" s="225" t="s">
        <v>117</v>
      </c>
    </row>
    <row r="18" spans="1:5" s="225" customFormat="1" ht="84.95">
      <c r="A18" s="225" t="s">
        <v>47</v>
      </c>
      <c r="D18" s="225">
        <v>52</v>
      </c>
      <c r="E18" s="225" t="s">
        <v>118</v>
      </c>
    </row>
    <row r="19" spans="1:5" s="225" customFormat="1" ht="17.100000000000001">
      <c r="A19" s="225" t="s">
        <v>51</v>
      </c>
      <c r="E19" s="225" t="s">
        <v>109</v>
      </c>
    </row>
    <row r="20" spans="1:5" s="225" customFormat="1" ht="17.100000000000001">
      <c r="A20" s="225" t="s">
        <v>53</v>
      </c>
      <c r="B20" s="225" t="s">
        <v>119</v>
      </c>
      <c r="E20" s="225" t="s">
        <v>109</v>
      </c>
    </row>
    <row r="21" spans="1:5" s="225" customFormat="1" ht="17.100000000000001">
      <c r="A21" s="225" t="s">
        <v>55</v>
      </c>
      <c r="E21" s="225" t="s">
        <v>109</v>
      </c>
    </row>
    <row r="22" spans="1:5" s="225" customFormat="1" ht="84.95">
      <c r="A22" s="225" t="s">
        <v>56</v>
      </c>
      <c r="D22" s="225">
        <v>34</v>
      </c>
      <c r="E22" s="225" t="s">
        <v>120</v>
      </c>
    </row>
    <row r="23" spans="1:5" s="225" customFormat="1" ht="17.100000000000001">
      <c r="A23" s="225" t="s">
        <v>58</v>
      </c>
      <c r="E23" s="225" t="s">
        <v>109</v>
      </c>
    </row>
    <row r="24" spans="1:5" s="225" customFormat="1" ht="33.950000000000003">
      <c r="A24" s="225" t="s">
        <v>59</v>
      </c>
      <c r="E24" s="225" t="s">
        <v>121</v>
      </c>
    </row>
    <row r="25" spans="1:5" s="225" customFormat="1" ht="17.100000000000001">
      <c r="A25" s="225" t="s">
        <v>63</v>
      </c>
      <c r="E25" s="225" t="s">
        <v>109</v>
      </c>
    </row>
    <row r="26" spans="1:5" s="225" customFormat="1" ht="84.95">
      <c r="A26" s="225" t="s">
        <v>64</v>
      </c>
      <c r="B26" s="225" t="s">
        <v>122</v>
      </c>
      <c r="C26" s="225">
        <v>2</v>
      </c>
      <c r="D26" s="225">
        <v>48</v>
      </c>
      <c r="E26" s="225" t="s">
        <v>123</v>
      </c>
    </row>
    <row r="27" spans="1:5" s="225" customFormat="1" ht="17.100000000000001">
      <c r="A27" s="225" t="s">
        <v>69</v>
      </c>
      <c r="B27" s="225" t="s">
        <v>124</v>
      </c>
      <c r="E27" s="225" t="s">
        <v>109</v>
      </c>
    </row>
    <row r="28" spans="1:5" s="225" customFormat="1" ht="153">
      <c r="A28" s="225" t="s">
        <v>71</v>
      </c>
      <c r="B28" s="225" t="s">
        <v>113</v>
      </c>
      <c r="C28" s="225">
        <v>12</v>
      </c>
      <c r="D28" s="225">
        <v>45</v>
      </c>
      <c r="E28" s="225" t="s">
        <v>125</v>
      </c>
    </row>
    <row r="29" spans="1:5" s="225" customFormat="1" ht="84.95">
      <c r="A29" s="225" t="s">
        <v>75</v>
      </c>
      <c r="B29" s="225" t="s">
        <v>122</v>
      </c>
      <c r="C29" s="225">
        <v>8</v>
      </c>
      <c r="D29" s="225" t="s">
        <v>126</v>
      </c>
      <c r="E29" s="225" t="s">
        <v>127</v>
      </c>
    </row>
    <row r="30" spans="1:5" s="225" customFormat="1" ht="17.100000000000001">
      <c r="A30" s="225" t="s">
        <v>79</v>
      </c>
      <c r="E30" s="225" t="s">
        <v>109</v>
      </c>
    </row>
    <row r="31" spans="1:5" s="225" customFormat="1" ht="17.100000000000001">
      <c r="A31" s="225" t="s">
        <v>82</v>
      </c>
      <c r="E31" s="225" t="s">
        <v>109</v>
      </c>
    </row>
    <row r="32" spans="1:5" s="225" customFormat="1" ht="17.100000000000001">
      <c r="A32" s="225" t="s">
        <v>85</v>
      </c>
      <c r="E32" s="225" t="s">
        <v>109</v>
      </c>
    </row>
    <row r="33" spans="1:5" s="225" customFormat="1" ht="135.94999999999999">
      <c r="A33" s="225" t="s">
        <v>86</v>
      </c>
      <c r="E33" s="225" t="s">
        <v>128</v>
      </c>
    </row>
    <row r="34" spans="1:5" s="225" customFormat="1" ht="17.100000000000001">
      <c r="A34" s="225" t="s">
        <v>89</v>
      </c>
      <c r="E34" s="225" t="s">
        <v>109</v>
      </c>
    </row>
    <row r="35" spans="1:5" s="225" customFormat="1" ht="84.95">
      <c r="A35" s="225" t="s">
        <v>90</v>
      </c>
      <c r="B35" s="225" t="s">
        <v>129</v>
      </c>
      <c r="C35" s="225" t="s">
        <v>130</v>
      </c>
      <c r="D35" s="225" t="s">
        <v>131</v>
      </c>
      <c r="E35" s="225" t="s">
        <v>132</v>
      </c>
    </row>
    <row r="36" spans="1:5" s="225" customFormat="1" ht="17.100000000000001">
      <c r="A36" s="225" t="s">
        <v>94</v>
      </c>
    </row>
    <row r="37" spans="1:5" s="225" customFormat="1" ht="17.100000000000001">
      <c r="A37" s="225" t="s">
        <v>95</v>
      </c>
    </row>
    <row r="38" spans="1:5" s="225" customFormat="1"/>
    <row r="39" spans="1:5" s="225" customFormat="1"/>
    <row r="40" spans="1:5" s="225" customFormat="1"/>
    <row r="41" spans="1:5" s="225" customFormat="1"/>
    <row r="42" spans="1:5" s="225" customFormat="1"/>
    <row r="43" spans="1:5" s="225" customFormat="1"/>
    <row r="44" spans="1:5" s="225" customFormat="1"/>
    <row r="45" spans="1:5" s="225" customFormat="1"/>
    <row r="46" spans="1:5" s="225" customFormat="1"/>
    <row r="47" spans="1:5" s="225" customFormat="1"/>
    <row r="48" spans="1:5" s="225" customFormat="1"/>
    <row r="49" s="225" customFormat="1"/>
    <row r="50" s="225" customFormat="1"/>
    <row r="51" s="225" customFormat="1"/>
    <row r="52" s="225" customFormat="1"/>
    <row r="53" s="225" customFormat="1"/>
    <row r="54" s="225" customFormat="1"/>
    <row r="55" s="225" customFormat="1"/>
    <row r="56" s="225" customFormat="1"/>
    <row r="57" s="225" customFormat="1"/>
    <row r="58" s="225" customFormat="1"/>
    <row r="59" s="225" customFormat="1"/>
    <row r="60" s="225" customFormat="1"/>
    <row r="61" s="225" customFormat="1"/>
    <row r="62" s="225" customFormat="1"/>
    <row r="63" s="225" customFormat="1"/>
    <row r="64" s="225" customFormat="1"/>
    <row r="65" s="225" customFormat="1"/>
    <row r="66" s="225" customFormat="1"/>
    <row r="67" s="225" customFormat="1"/>
    <row r="68" s="225" customFormat="1"/>
    <row r="69" s="225" customFormat="1"/>
    <row r="70" s="225" customFormat="1"/>
    <row r="71" s="225" customFormat="1"/>
    <row r="72" s="225" customFormat="1"/>
    <row r="73" s="225" customFormat="1"/>
    <row r="74" s="225" customFormat="1"/>
    <row r="75" s="225" customFormat="1"/>
    <row r="76" s="225" customFormat="1"/>
    <row r="77" s="225" customFormat="1"/>
    <row r="78" s="225" customFormat="1"/>
    <row r="79" s="225" customFormat="1"/>
  </sheetData>
  <dataConsolidat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65569-A0EA-4752-AE18-A4B58CB8A733}">
  <dimension ref="A1:G78"/>
  <sheetViews>
    <sheetView workbookViewId="0">
      <pane ySplit="1" topLeftCell="A2" activePane="bottomLeft" state="frozen"/>
      <selection pane="bottomLeft" activeCell="A18" sqref="A18:XFD18"/>
    </sheetView>
  </sheetViews>
  <sheetFormatPr defaultColWidth="9.140625" defaultRowHeight="15"/>
  <cols>
    <col min="1" max="1" width="18.28515625" style="71" bestFit="1" customWidth="1"/>
    <col min="2" max="2" width="6.42578125" style="71" customWidth="1"/>
    <col min="3" max="3" width="14" style="71" customWidth="1"/>
    <col min="4" max="4" width="13.42578125" style="71" customWidth="1"/>
    <col min="5" max="5" width="13" style="231" bestFit="1" customWidth="1"/>
    <col min="6" max="6" width="17" style="71" customWidth="1"/>
    <col min="7" max="7" width="44.28515625" style="71" customWidth="1"/>
    <col min="8" max="16384" width="9.140625" style="71"/>
  </cols>
  <sheetData>
    <row r="1" spans="1:7" s="75" customFormat="1" ht="15.95">
      <c r="A1" s="75" t="s">
        <v>0</v>
      </c>
      <c r="B1" s="75" t="s">
        <v>133</v>
      </c>
      <c r="C1" s="75" t="s">
        <v>134</v>
      </c>
      <c r="D1" s="75" t="s">
        <v>135</v>
      </c>
      <c r="E1" s="230" t="s">
        <v>136</v>
      </c>
      <c r="F1" s="75" t="s">
        <v>137</v>
      </c>
      <c r="G1" s="75" t="s">
        <v>138</v>
      </c>
    </row>
    <row r="2" spans="1:7" s="75" customFormat="1">
      <c r="A2" s="75" t="s">
        <v>5</v>
      </c>
      <c r="B2" s="75" t="s">
        <v>139</v>
      </c>
      <c r="C2" s="75">
        <v>126965629</v>
      </c>
      <c r="D2" s="75">
        <v>126966115</v>
      </c>
      <c r="E2" s="231">
        <v>277929</v>
      </c>
      <c r="F2" s="75" t="s">
        <v>140</v>
      </c>
      <c r="G2" s="98" t="s">
        <v>141</v>
      </c>
    </row>
    <row r="3" spans="1:7" s="75" customFormat="1" ht="68.099999999999994" customHeight="1">
      <c r="A3" s="75" t="s">
        <v>10</v>
      </c>
      <c r="B3" s="75" t="s">
        <v>139</v>
      </c>
      <c r="C3" s="75">
        <v>126736375</v>
      </c>
      <c r="D3" s="75">
        <v>126939807</v>
      </c>
      <c r="E3" s="231">
        <v>203432</v>
      </c>
      <c r="F3" s="75" t="s">
        <v>140</v>
      </c>
      <c r="G3" s="98" t="s">
        <v>142</v>
      </c>
    </row>
    <row r="4" spans="1:7" s="75" customFormat="1" ht="15.95">
      <c r="A4" s="75" t="s">
        <v>15</v>
      </c>
      <c r="B4" s="75" t="s">
        <v>139</v>
      </c>
      <c r="C4" s="228">
        <v>126742343</v>
      </c>
      <c r="D4" s="228">
        <v>126932074</v>
      </c>
      <c r="E4" s="230">
        <v>189731</v>
      </c>
      <c r="F4" s="75" t="s">
        <v>140</v>
      </c>
      <c r="G4" s="232" t="s">
        <v>143</v>
      </c>
    </row>
    <row r="5" spans="1:7" s="75" customFormat="1" ht="32.1">
      <c r="A5" s="75" t="s">
        <v>19</v>
      </c>
      <c r="B5" s="75" t="s">
        <v>139</v>
      </c>
      <c r="C5" s="228">
        <v>126763901</v>
      </c>
      <c r="D5" s="228">
        <v>126914184</v>
      </c>
      <c r="E5" s="230">
        <v>150283</v>
      </c>
      <c r="F5" s="75" t="s">
        <v>140</v>
      </c>
      <c r="G5" s="123" t="s">
        <v>144</v>
      </c>
    </row>
    <row r="6" spans="1:7" s="75" customFormat="1" ht="15.95">
      <c r="A6" s="75" t="s">
        <v>23</v>
      </c>
      <c r="B6" s="75" t="s">
        <v>139</v>
      </c>
      <c r="C6" s="228">
        <v>126683194</v>
      </c>
      <c r="D6" s="228">
        <v>126922135</v>
      </c>
      <c r="E6" s="231">
        <v>238941</v>
      </c>
      <c r="F6" s="75" t="s">
        <v>140</v>
      </c>
      <c r="G6" s="233" t="s">
        <v>145</v>
      </c>
    </row>
    <row r="7" spans="1:7" s="75" customFormat="1" ht="30.75">
      <c r="A7" s="75" t="s">
        <v>27</v>
      </c>
      <c r="B7" s="75" t="s">
        <v>139</v>
      </c>
      <c r="C7" s="75">
        <v>126761184</v>
      </c>
      <c r="D7" s="75">
        <v>126930640</v>
      </c>
      <c r="E7" s="231" t="s">
        <v>146</v>
      </c>
      <c r="F7" s="75" t="s">
        <v>147</v>
      </c>
      <c r="G7" s="123" t="s">
        <v>148</v>
      </c>
    </row>
    <row r="8" spans="1:7" s="75" customFormat="1" ht="15.95">
      <c r="A8" s="75" t="s">
        <v>29</v>
      </c>
      <c r="B8" s="75" t="s">
        <v>139</v>
      </c>
      <c r="C8" s="228">
        <v>126667591</v>
      </c>
      <c r="D8" s="228">
        <v>127008376</v>
      </c>
      <c r="E8" s="231">
        <v>340785</v>
      </c>
      <c r="F8" s="75" t="s">
        <v>147</v>
      </c>
      <c r="G8" s="233" t="s">
        <v>149</v>
      </c>
    </row>
    <row r="9" spans="1:7" s="75" customFormat="1" ht="15.95">
      <c r="A9" s="75" t="s">
        <v>31</v>
      </c>
      <c r="B9" s="75" t="s">
        <v>139</v>
      </c>
      <c r="C9" s="228">
        <v>126705616</v>
      </c>
      <c r="D9" s="228">
        <v>126909458</v>
      </c>
      <c r="E9" s="231">
        <v>203842</v>
      </c>
      <c r="F9" s="75" t="s">
        <v>140</v>
      </c>
      <c r="G9" s="98" t="s">
        <v>150</v>
      </c>
    </row>
    <row r="10" spans="1:7" s="75" customFormat="1" ht="15.95">
      <c r="A10" s="75" t="s">
        <v>34</v>
      </c>
      <c r="B10" s="75" t="s">
        <v>139</v>
      </c>
      <c r="C10" s="228">
        <v>126686881</v>
      </c>
      <c r="D10" s="228">
        <v>126915553</v>
      </c>
      <c r="E10" s="230">
        <v>228672</v>
      </c>
      <c r="F10" s="75" t="s">
        <v>140</v>
      </c>
      <c r="G10" s="232" t="s">
        <v>151</v>
      </c>
    </row>
    <row r="11" spans="1:7" s="75" customFormat="1" ht="15.95">
      <c r="A11" s="75" t="s">
        <v>36</v>
      </c>
      <c r="B11" s="75" t="s">
        <v>139</v>
      </c>
      <c r="C11" s="228">
        <v>126766751</v>
      </c>
      <c r="D11" s="228">
        <v>126995994</v>
      </c>
      <c r="E11" s="231">
        <v>229243</v>
      </c>
      <c r="F11" s="75" t="s">
        <v>140</v>
      </c>
      <c r="G11" s="98" t="s">
        <v>152</v>
      </c>
    </row>
    <row r="12" spans="1:7" s="75" customFormat="1" ht="15.95">
      <c r="A12" s="75" t="s">
        <v>38</v>
      </c>
      <c r="B12" s="75" t="s">
        <v>139</v>
      </c>
      <c r="C12" s="75">
        <v>126687731</v>
      </c>
      <c r="D12" s="75">
        <v>126965660</v>
      </c>
      <c r="E12" s="230"/>
    </row>
    <row r="13" spans="1:7" s="75" customFormat="1" ht="15.95">
      <c r="A13" s="75" t="s">
        <v>39</v>
      </c>
      <c r="B13" s="75" t="s">
        <v>139</v>
      </c>
      <c r="C13" s="75">
        <v>126775269</v>
      </c>
      <c r="D13" s="75">
        <v>126893623</v>
      </c>
      <c r="E13" s="230"/>
    </row>
    <row r="14" spans="1:7" s="75" customFormat="1" ht="15.95">
      <c r="A14" s="75" t="s">
        <v>40</v>
      </c>
      <c r="B14" s="75" t="s">
        <v>139</v>
      </c>
      <c r="C14" s="75">
        <v>126716573</v>
      </c>
      <c r="D14" s="75">
        <v>126926882</v>
      </c>
      <c r="E14" s="230"/>
    </row>
    <row r="15" spans="1:7" s="75" customFormat="1" ht="15.95">
      <c r="A15" s="75" t="s">
        <v>41</v>
      </c>
      <c r="B15" s="75" t="s">
        <v>139</v>
      </c>
      <c r="C15" s="75">
        <v>126743135</v>
      </c>
      <c r="D15" s="75">
        <v>126865131</v>
      </c>
      <c r="E15" s="230"/>
    </row>
    <row r="16" spans="1:7" s="75" customFormat="1" ht="15.95">
      <c r="A16" s="75" t="s">
        <v>42</v>
      </c>
      <c r="B16" s="75" t="s">
        <v>139</v>
      </c>
      <c r="C16" s="75">
        <v>125918128</v>
      </c>
      <c r="D16" s="75">
        <v>126949480</v>
      </c>
      <c r="E16" s="230"/>
    </row>
    <row r="17" spans="1:7" s="75" customFormat="1" ht="32.1">
      <c r="A17" s="75" t="s">
        <v>43</v>
      </c>
      <c r="B17" s="75" t="s">
        <v>139</v>
      </c>
      <c r="C17" s="228">
        <v>126016772</v>
      </c>
      <c r="D17" s="228">
        <v>126689287</v>
      </c>
      <c r="E17" s="231">
        <v>672515</v>
      </c>
      <c r="F17" s="75" t="s">
        <v>153</v>
      </c>
      <c r="G17" s="123" t="s">
        <v>154</v>
      </c>
    </row>
    <row r="18" spans="1:7" s="75" customFormat="1" ht="32.1">
      <c r="A18" s="75" t="s">
        <v>47</v>
      </c>
      <c r="B18" s="75" t="s">
        <v>139</v>
      </c>
      <c r="C18" s="228">
        <v>126156719</v>
      </c>
      <c r="D18" s="228">
        <v>126765604</v>
      </c>
      <c r="E18" s="230">
        <v>609000</v>
      </c>
      <c r="F18" s="75" t="s">
        <v>153</v>
      </c>
      <c r="G18" s="123" t="s">
        <v>155</v>
      </c>
    </row>
    <row r="19" spans="1:7" s="75" customFormat="1" ht="15.95">
      <c r="A19" s="75" t="s">
        <v>51</v>
      </c>
      <c r="B19" s="75" t="s">
        <v>139</v>
      </c>
      <c r="C19" s="228">
        <v>126156745</v>
      </c>
      <c r="D19" s="228">
        <v>126765578</v>
      </c>
      <c r="E19" s="230"/>
    </row>
    <row r="20" spans="1:7" s="75" customFormat="1" ht="15.95">
      <c r="A20" s="75" t="s">
        <v>53</v>
      </c>
      <c r="B20" s="75" t="s">
        <v>139</v>
      </c>
      <c r="C20" s="228">
        <v>126363827</v>
      </c>
      <c r="D20" s="228">
        <v>126838825</v>
      </c>
      <c r="E20" s="231">
        <v>474998</v>
      </c>
      <c r="F20" s="75" t="s">
        <v>156</v>
      </c>
      <c r="G20" s="75" t="s">
        <v>157</v>
      </c>
    </row>
    <row r="21" spans="1:7" s="75" customFormat="1" ht="15.95">
      <c r="A21" s="75" t="s">
        <v>55</v>
      </c>
      <c r="B21" s="75" t="s">
        <v>139</v>
      </c>
      <c r="C21" s="75">
        <v>126512007</v>
      </c>
      <c r="D21" s="75">
        <v>126978629</v>
      </c>
      <c r="E21" s="230"/>
    </row>
    <row r="22" spans="1:7" s="75" customFormat="1" ht="32.1">
      <c r="A22" s="75" t="s">
        <v>56</v>
      </c>
      <c r="B22" s="75" t="s">
        <v>139</v>
      </c>
      <c r="C22" s="228">
        <v>126522203</v>
      </c>
      <c r="D22" s="228">
        <v>126772687</v>
      </c>
      <c r="E22" s="230">
        <v>250000</v>
      </c>
      <c r="F22" s="75" t="s">
        <v>153</v>
      </c>
      <c r="G22" s="123" t="s">
        <v>158</v>
      </c>
    </row>
    <row r="23" spans="1:7" s="75" customFormat="1" ht="15.95">
      <c r="A23" s="75" t="s">
        <v>58</v>
      </c>
      <c r="B23" s="75" t="s">
        <v>139</v>
      </c>
      <c r="C23" s="228">
        <v>126637847</v>
      </c>
      <c r="D23" s="228">
        <v>126913193</v>
      </c>
      <c r="E23" s="230"/>
    </row>
    <row r="24" spans="1:7" s="75" customFormat="1" ht="80.099999999999994">
      <c r="A24" s="75" t="s">
        <v>59</v>
      </c>
      <c r="B24" s="75" t="s">
        <v>139</v>
      </c>
      <c r="C24" s="228">
        <v>126695490</v>
      </c>
      <c r="D24" s="228">
        <v>127036275</v>
      </c>
      <c r="E24" s="231">
        <v>340785</v>
      </c>
      <c r="F24" s="75" t="s">
        <v>140</v>
      </c>
      <c r="G24" s="123" t="s">
        <v>159</v>
      </c>
    </row>
    <row r="25" spans="1:7" s="75" customFormat="1" ht="15.95">
      <c r="A25" s="75" t="s">
        <v>63</v>
      </c>
      <c r="B25" s="75" t="s">
        <v>139</v>
      </c>
      <c r="C25" s="228">
        <v>126698430</v>
      </c>
      <c r="D25" s="228">
        <v>126889630</v>
      </c>
      <c r="E25" s="230"/>
    </row>
    <row r="26" spans="1:7" s="75" customFormat="1" ht="15.95">
      <c r="A26" s="75" t="s">
        <v>64</v>
      </c>
      <c r="B26" s="75" t="s">
        <v>139</v>
      </c>
      <c r="C26" s="228">
        <v>126705102</v>
      </c>
      <c r="D26" s="228">
        <v>127029777</v>
      </c>
      <c r="E26" s="231">
        <v>324675</v>
      </c>
      <c r="F26" s="75" t="s">
        <v>140</v>
      </c>
      <c r="G26" s="98" t="s">
        <v>160</v>
      </c>
    </row>
    <row r="27" spans="1:7" s="75" customFormat="1" ht="15.95">
      <c r="A27" s="75" t="s">
        <v>69</v>
      </c>
      <c r="B27" s="75" t="s">
        <v>139</v>
      </c>
      <c r="C27" s="228">
        <v>126713540</v>
      </c>
      <c r="D27" s="228">
        <v>126947560</v>
      </c>
      <c r="E27" s="231">
        <v>234020</v>
      </c>
      <c r="F27" s="75" t="s">
        <v>140</v>
      </c>
      <c r="G27" s="98" t="s">
        <v>161</v>
      </c>
    </row>
    <row r="28" spans="1:7" s="75" customFormat="1" ht="15.95">
      <c r="A28" s="75" t="s">
        <v>71</v>
      </c>
      <c r="B28" s="75" t="s">
        <v>139</v>
      </c>
      <c r="C28" s="228">
        <v>126718880</v>
      </c>
      <c r="D28" s="228">
        <v>126866965</v>
      </c>
      <c r="E28" s="231">
        <v>148085</v>
      </c>
      <c r="F28" s="75" t="s">
        <v>140</v>
      </c>
      <c r="G28" s="98" t="s">
        <v>162</v>
      </c>
    </row>
    <row r="29" spans="1:7" s="75" customFormat="1" ht="15.95">
      <c r="A29" s="75" t="s">
        <v>75</v>
      </c>
      <c r="B29" s="75" t="s">
        <v>139</v>
      </c>
      <c r="C29" s="228">
        <v>126732318</v>
      </c>
      <c r="D29" s="228">
        <v>126886087</v>
      </c>
      <c r="E29" s="231">
        <v>153769</v>
      </c>
      <c r="F29" s="75" t="s">
        <v>140</v>
      </c>
      <c r="G29" s="98" t="s">
        <v>163</v>
      </c>
    </row>
    <row r="30" spans="1:7" s="75" customFormat="1" ht="15.95">
      <c r="A30" s="75" t="s">
        <v>79</v>
      </c>
      <c r="B30" s="75" t="s">
        <v>139</v>
      </c>
      <c r="C30" s="228">
        <v>126736453</v>
      </c>
      <c r="D30" s="228">
        <v>126864061</v>
      </c>
      <c r="E30" s="231">
        <v>127608</v>
      </c>
      <c r="F30" s="75" t="s">
        <v>140</v>
      </c>
      <c r="G30" s="98" t="s">
        <v>164</v>
      </c>
    </row>
    <row r="31" spans="1:7" s="75" customFormat="1" ht="15.95">
      <c r="A31" s="75" t="s">
        <v>82</v>
      </c>
      <c r="B31" s="75" t="s">
        <v>139</v>
      </c>
      <c r="C31" s="228">
        <v>126739243</v>
      </c>
      <c r="D31" s="228">
        <v>127054568</v>
      </c>
      <c r="E31" s="230"/>
    </row>
    <row r="32" spans="1:7" s="75" customFormat="1" ht="15.95">
      <c r="A32" s="75" t="s">
        <v>85</v>
      </c>
      <c r="B32" s="75" t="s">
        <v>139</v>
      </c>
      <c r="C32" s="228">
        <v>126753827</v>
      </c>
      <c r="D32" s="228">
        <v>126903529</v>
      </c>
      <c r="E32" s="230"/>
    </row>
    <row r="33" spans="1:7" s="75" customFormat="1" ht="15.95">
      <c r="A33" s="75" t="s">
        <v>86</v>
      </c>
      <c r="B33" s="75" t="s">
        <v>139</v>
      </c>
      <c r="C33" s="228">
        <v>1267637655</v>
      </c>
      <c r="D33" s="228">
        <v>126913191</v>
      </c>
      <c r="E33" s="230"/>
      <c r="F33" s="135">
        <v>275540</v>
      </c>
    </row>
    <row r="34" spans="1:7" s="75" customFormat="1" ht="15.95">
      <c r="A34" s="75" t="s">
        <v>89</v>
      </c>
      <c r="B34" s="75" t="s">
        <v>139</v>
      </c>
      <c r="C34" s="228">
        <v>126766199</v>
      </c>
      <c r="D34" s="228">
        <v>126922932</v>
      </c>
      <c r="E34" s="230"/>
    </row>
    <row r="35" spans="1:7" s="75" customFormat="1" ht="15.95">
      <c r="A35" s="75" t="s">
        <v>90</v>
      </c>
      <c r="B35" s="75" t="s">
        <v>139</v>
      </c>
      <c r="C35" s="228">
        <v>126789083</v>
      </c>
      <c r="D35" s="228">
        <v>126958538</v>
      </c>
      <c r="E35" s="231">
        <v>169455</v>
      </c>
      <c r="F35" s="75" t="s">
        <v>140</v>
      </c>
      <c r="G35" s="98" t="s">
        <v>165</v>
      </c>
    </row>
    <row r="36" spans="1:7" s="75" customFormat="1" ht="15.95">
      <c r="A36" s="75" t="s">
        <v>94</v>
      </c>
      <c r="B36" s="75" t="s">
        <v>139</v>
      </c>
      <c r="C36" s="228">
        <v>126789900</v>
      </c>
      <c r="D36" s="228">
        <v>127025020</v>
      </c>
      <c r="E36" s="230"/>
    </row>
    <row r="37" spans="1:7" s="75" customFormat="1" ht="15.95">
      <c r="A37" s="75" t="s">
        <v>95</v>
      </c>
      <c r="B37" s="75" t="s">
        <v>139</v>
      </c>
      <c r="C37" s="228">
        <v>126805047</v>
      </c>
      <c r="D37" s="228">
        <v>126864688</v>
      </c>
      <c r="E37" s="230"/>
    </row>
    <row r="38" spans="1:7" s="75" customFormat="1">
      <c r="E38" s="230"/>
    </row>
    <row r="39" spans="1:7" s="75" customFormat="1">
      <c r="E39" s="230"/>
    </row>
    <row r="40" spans="1:7" s="75" customFormat="1">
      <c r="E40" s="230"/>
    </row>
    <row r="41" spans="1:7" s="75" customFormat="1">
      <c r="E41" s="230"/>
    </row>
    <row r="42" spans="1:7" s="75" customFormat="1">
      <c r="E42" s="230"/>
    </row>
    <row r="43" spans="1:7" s="75" customFormat="1">
      <c r="E43" s="230"/>
    </row>
    <row r="44" spans="1:7" s="75" customFormat="1">
      <c r="E44" s="230"/>
    </row>
    <row r="45" spans="1:7" s="75" customFormat="1">
      <c r="E45" s="230"/>
    </row>
    <row r="46" spans="1:7" s="75" customFormat="1">
      <c r="E46" s="230"/>
    </row>
    <row r="47" spans="1:7" s="75" customFormat="1">
      <c r="E47" s="230"/>
    </row>
    <row r="48" spans="1:7" s="75" customFormat="1">
      <c r="E48" s="230"/>
    </row>
    <row r="49" spans="5:5" s="75" customFormat="1">
      <c r="E49" s="230"/>
    </row>
    <row r="50" spans="5:5" s="75" customFormat="1">
      <c r="E50" s="230"/>
    </row>
    <row r="51" spans="5:5" s="75" customFormat="1">
      <c r="E51" s="230"/>
    </row>
    <row r="52" spans="5:5" s="75" customFormat="1">
      <c r="E52" s="230"/>
    </row>
    <row r="53" spans="5:5" s="75" customFormat="1">
      <c r="E53" s="230"/>
    </row>
    <row r="54" spans="5:5" s="75" customFormat="1">
      <c r="E54" s="230"/>
    </row>
    <row r="55" spans="5:5" s="75" customFormat="1">
      <c r="E55" s="230"/>
    </row>
    <row r="56" spans="5:5" s="75" customFormat="1">
      <c r="E56" s="230"/>
    </row>
    <row r="57" spans="5:5" s="75" customFormat="1">
      <c r="E57" s="230"/>
    </row>
    <row r="58" spans="5:5" s="75" customFormat="1">
      <c r="E58" s="230"/>
    </row>
    <row r="59" spans="5:5" s="75" customFormat="1">
      <c r="E59" s="230"/>
    </row>
    <row r="60" spans="5:5" s="75" customFormat="1">
      <c r="E60" s="230"/>
    </row>
    <row r="61" spans="5:5" s="75" customFormat="1">
      <c r="E61" s="230"/>
    </row>
    <row r="62" spans="5:5" s="75" customFormat="1">
      <c r="E62" s="230"/>
    </row>
    <row r="63" spans="5:5" s="75" customFormat="1">
      <c r="E63" s="230"/>
    </row>
    <row r="64" spans="5:5" s="75" customFormat="1">
      <c r="E64" s="230"/>
    </row>
    <row r="65" spans="5:5" s="75" customFormat="1">
      <c r="E65" s="230"/>
    </row>
    <row r="66" spans="5:5" s="75" customFormat="1">
      <c r="E66" s="230"/>
    </row>
    <row r="67" spans="5:5" s="75" customFormat="1">
      <c r="E67" s="230"/>
    </row>
    <row r="68" spans="5:5" s="75" customFormat="1">
      <c r="E68" s="230"/>
    </row>
    <row r="69" spans="5:5" s="75" customFormat="1">
      <c r="E69" s="230"/>
    </row>
    <row r="70" spans="5:5" s="75" customFormat="1">
      <c r="E70" s="230"/>
    </row>
    <row r="71" spans="5:5" s="75" customFormat="1">
      <c r="E71" s="230"/>
    </row>
    <row r="72" spans="5:5" s="75" customFormat="1">
      <c r="E72" s="230"/>
    </row>
    <row r="73" spans="5:5" s="75" customFormat="1">
      <c r="E73" s="230"/>
    </row>
    <row r="74" spans="5:5" s="75" customFormat="1">
      <c r="E74" s="230"/>
    </row>
    <row r="75" spans="5:5" s="75" customFormat="1">
      <c r="E75" s="230"/>
    </row>
    <row r="76" spans="5:5" s="75" customFormat="1">
      <c r="E76" s="230"/>
    </row>
    <row r="77" spans="5:5" s="75" customFormat="1">
      <c r="E77" s="230"/>
    </row>
    <row r="78" spans="5:5" s="75" customFormat="1">
      <c r="E78" s="230"/>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5DD97-3EC0-4452-A388-7DAA956E79C5}">
  <dimension ref="A1:CE215"/>
  <sheetViews>
    <sheetView topLeftCell="B1" zoomScale="69" zoomScaleNormal="60" workbookViewId="0">
      <pane ySplit="1" topLeftCell="A2" activePane="bottomLeft" state="frozen"/>
      <selection pane="bottomLeft" activeCell="B34" sqref="A34:XFD34"/>
      <selection activeCell="D1" sqref="D1"/>
    </sheetView>
  </sheetViews>
  <sheetFormatPr defaultColWidth="9.140625" defaultRowHeight="15"/>
  <cols>
    <col min="1" max="1" width="22.85546875" style="71" hidden="1" customWidth="1"/>
    <col min="2" max="2" width="22.85546875" style="71" customWidth="1"/>
    <col min="3" max="3" width="28.85546875" style="71" hidden="1" customWidth="1"/>
    <col min="4" max="4" width="25.140625" style="75" hidden="1" customWidth="1"/>
    <col min="5" max="6" width="28.28515625" style="71" hidden="1" customWidth="1"/>
    <col min="7" max="7" width="33" style="98" hidden="1" customWidth="1"/>
    <col min="8" max="8" width="35.140625" style="71" hidden="1" customWidth="1"/>
    <col min="9" max="9" width="73.42578125" style="98" hidden="1" customWidth="1"/>
    <col min="10" max="10" width="16.28515625" style="71" hidden="1" customWidth="1"/>
    <col min="11" max="11" width="17.7109375" style="99" hidden="1" customWidth="1"/>
    <col min="12" max="13" width="29.7109375" style="100" customWidth="1"/>
    <col min="14" max="14" width="21.85546875" style="101" customWidth="1"/>
    <col min="15" max="15" width="18.42578125" style="101" customWidth="1"/>
    <col min="16" max="16" width="20.42578125" style="101" customWidth="1"/>
    <col min="17" max="17" width="22.140625" style="101" customWidth="1"/>
    <col min="18" max="18" width="16.7109375" style="71" customWidth="1"/>
    <col min="19" max="19" width="31.42578125" style="98" customWidth="1"/>
    <col min="20" max="20" width="30.42578125" style="71" customWidth="1"/>
    <col min="21" max="21" width="15.85546875" style="98" customWidth="1"/>
    <col min="22" max="22" width="11.42578125" style="98" customWidth="1"/>
    <col min="23" max="23" width="21" style="71" customWidth="1"/>
    <col min="24" max="24" width="26.140625" style="71" customWidth="1"/>
    <col min="25" max="28" width="26.28515625" style="98" customWidth="1"/>
    <col min="29" max="29" width="25.42578125" style="98" customWidth="1"/>
    <col min="30" max="16384" width="9.140625" style="71"/>
  </cols>
  <sheetData>
    <row r="1" spans="1:83" s="74" customFormat="1" ht="15.95">
      <c r="A1" s="74" t="s">
        <v>166</v>
      </c>
      <c r="C1" s="74" t="s">
        <v>167</v>
      </c>
      <c r="D1" s="103" t="s">
        <v>168</v>
      </c>
      <c r="E1" s="74" t="s">
        <v>169</v>
      </c>
      <c r="F1" s="74" t="s">
        <v>170</v>
      </c>
      <c r="G1" s="74" t="s">
        <v>171</v>
      </c>
      <c r="H1" s="74" t="s">
        <v>172</v>
      </c>
      <c r="I1" s="74" t="s">
        <v>173</v>
      </c>
      <c r="J1" s="103" t="s">
        <v>174</v>
      </c>
      <c r="K1" s="104" t="s">
        <v>175</v>
      </c>
      <c r="L1" s="169" t="s">
        <v>176</v>
      </c>
      <c r="M1" s="169" t="s">
        <v>177</v>
      </c>
      <c r="N1" s="105" t="s">
        <v>178</v>
      </c>
      <c r="O1" s="105" t="s">
        <v>179</v>
      </c>
      <c r="P1" s="105" t="s">
        <v>180</v>
      </c>
      <c r="Q1" s="105" t="s">
        <v>181</v>
      </c>
      <c r="R1" s="103" t="s">
        <v>182</v>
      </c>
      <c r="S1" s="103" t="s">
        <v>183</v>
      </c>
      <c r="T1" s="74" t="s">
        <v>184</v>
      </c>
      <c r="U1" s="74" t="s">
        <v>185</v>
      </c>
      <c r="V1" s="74" t="s">
        <v>186</v>
      </c>
      <c r="W1" s="74" t="s">
        <v>187</v>
      </c>
      <c r="X1" s="74" t="s">
        <v>188</v>
      </c>
      <c r="Y1" s="106" t="s">
        <v>189</v>
      </c>
      <c r="Z1" s="106" t="s">
        <v>190</v>
      </c>
      <c r="AA1" s="106" t="s">
        <v>191</v>
      </c>
      <c r="AB1" s="106" t="s">
        <v>192</v>
      </c>
      <c r="AC1" s="74" t="s">
        <v>193</v>
      </c>
    </row>
    <row r="2" spans="1:83">
      <c r="D2" s="94" t="s">
        <v>194</v>
      </c>
      <c r="H2" s="168" t="s">
        <v>195</v>
      </c>
      <c r="J2" s="107" t="s">
        <v>196</v>
      </c>
      <c r="R2" s="108"/>
      <c r="T2" s="95" t="s">
        <v>197</v>
      </c>
      <c r="AB2" s="202" t="s">
        <v>198</v>
      </c>
    </row>
    <row r="3" spans="1:83">
      <c r="J3" s="98"/>
      <c r="R3" s="108"/>
    </row>
    <row r="4" spans="1:83" ht="15.95" thickBot="1">
      <c r="C4" s="71" t="s">
        <v>199</v>
      </c>
      <c r="J4" s="98"/>
      <c r="R4" s="108"/>
    </row>
    <row r="5" spans="1:83" s="11" customFormat="1" ht="15" customHeight="1">
      <c r="A5" s="261" t="s">
        <v>200</v>
      </c>
      <c r="B5" s="212" t="s">
        <v>5</v>
      </c>
      <c r="C5" s="265">
        <v>1</v>
      </c>
      <c r="D5" s="17" t="s">
        <v>8</v>
      </c>
      <c r="F5" s="11" t="s">
        <v>201</v>
      </c>
      <c r="G5" s="12">
        <v>17697</v>
      </c>
      <c r="H5" s="11" t="s">
        <v>202</v>
      </c>
      <c r="I5" s="11" t="s">
        <v>203</v>
      </c>
      <c r="J5" s="11" t="s">
        <v>204</v>
      </c>
      <c r="K5" s="4">
        <v>277929</v>
      </c>
      <c r="L5" s="60">
        <v>126965629</v>
      </c>
      <c r="M5" s="60">
        <v>126966115</v>
      </c>
      <c r="N5" s="76" t="s">
        <v>205</v>
      </c>
      <c r="O5" s="76" t="s">
        <v>206</v>
      </c>
      <c r="P5" s="76">
        <v>126023423</v>
      </c>
      <c r="Q5" s="76">
        <v>126301352</v>
      </c>
      <c r="R5" s="11" t="s">
        <v>207</v>
      </c>
      <c r="S5" s="12" t="s">
        <v>141</v>
      </c>
      <c r="T5" s="11" t="s">
        <v>208</v>
      </c>
      <c r="U5" s="209" t="s">
        <v>209</v>
      </c>
      <c r="V5" s="89" t="s">
        <v>210</v>
      </c>
      <c r="W5" s="11">
        <v>16</v>
      </c>
      <c r="X5" s="11" t="s">
        <v>211</v>
      </c>
      <c r="Y5" s="12" t="s">
        <v>212</v>
      </c>
      <c r="Z5" s="12"/>
      <c r="AA5" s="12"/>
      <c r="AB5" s="12"/>
      <c r="AC5" s="12"/>
    </row>
    <row r="6" spans="1:83" ht="15" customHeight="1">
      <c r="A6" s="262"/>
      <c r="B6" s="211"/>
      <c r="C6" s="247"/>
      <c r="D6" s="75" t="s">
        <v>8</v>
      </c>
      <c r="F6" s="71" t="s">
        <v>213</v>
      </c>
      <c r="G6" s="98" t="s">
        <v>214</v>
      </c>
      <c r="H6" s="71" t="s">
        <v>202</v>
      </c>
      <c r="I6" s="71" t="s">
        <v>203</v>
      </c>
      <c r="J6" s="71" t="s">
        <v>204</v>
      </c>
      <c r="K6" s="99">
        <v>277929</v>
      </c>
      <c r="L6" s="100">
        <v>126965629</v>
      </c>
      <c r="M6" s="100">
        <v>126966115</v>
      </c>
      <c r="N6" s="101" t="s">
        <v>205</v>
      </c>
      <c r="O6" s="101" t="s">
        <v>206</v>
      </c>
      <c r="P6" s="101">
        <v>126023423</v>
      </c>
      <c r="Q6" s="101">
        <v>126301352</v>
      </c>
      <c r="R6" s="71" t="s">
        <v>207</v>
      </c>
      <c r="S6" s="98" t="s">
        <v>141</v>
      </c>
      <c r="T6" s="71" t="s">
        <v>215</v>
      </c>
      <c r="U6" s="210" t="s">
        <v>209</v>
      </c>
      <c r="V6" s="90" t="s">
        <v>210</v>
      </c>
      <c r="W6" s="71">
        <v>16</v>
      </c>
      <c r="X6" s="71" t="s">
        <v>211</v>
      </c>
      <c r="Y6" s="98" t="s">
        <v>212</v>
      </c>
    </row>
    <row r="7" spans="1:83" ht="15" customHeight="1">
      <c r="A7" s="262"/>
      <c r="B7" s="211"/>
      <c r="C7" s="247"/>
      <c r="D7" s="75" t="s">
        <v>8</v>
      </c>
      <c r="F7" s="71">
        <v>18294</v>
      </c>
      <c r="G7" s="98" t="s">
        <v>207</v>
      </c>
      <c r="H7" s="71" t="s">
        <v>202</v>
      </c>
      <c r="I7" s="71" t="s">
        <v>203</v>
      </c>
      <c r="J7" s="71" t="s">
        <v>204</v>
      </c>
      <c r="K7" s="99">
        <v>277929</v>
      </c>
      <c r="L7" s="100">
        <v>126965629</v>
      </c>
      <c r="M7" s="100">
        <v>126966115</v>
      </c>
      <c r="N7" s="101" t="s">
        <v>205</v>
      </c>
      <c r="O7" s="101" t="s">
        <v>206</v>
      </c>
      <c r="P7" s="101">
        <v>126023423</v>
      </c>
      <c r="Q7" s="101">
        <v>126301352</v>
      </c>
      <c r="R7" s="71" t="s">
        <v>207</v>
      </c>
      <c r="S7" s="98" t="s">
        <v>141</v>
      </c>
      <c r="T7" s="71" t="s">
        <v>215</v>
      </c>
      <c r="U7" s="210" t="s">
        <v>209</v>
      </c>
      <c r="V7" s="90" t="s">
        <v>210</v>
      </c>
      <c r="W7" s="71">
        <v>16</v>
      </c>
      <c r="X7" s="71" t="s">
        <v>211</v>
      </c>
      <c r="Y7" s="98" t="s">
        <v>212</v>
      </c>
    </row>
    <row r="8" spans="1:83" ht="15" customHeight="1">
      <c r="A8" s="262"/>
      <c r="B8" s="211"/>
      <c r="C8" s="247"/>
      <c r="D8" s="75" t="s">
        <v>8</v>
      </c>
      <c r="F8" s="71">
        <v>17700</v>
      </c>
      <c r="G8" s="98" t="s">
        <v>207</v>
      </c>
      <c r="H8" s="71" t="s">
        <v>216</v>
      </c>
      <c r="I8" s="71" t="s">
        <v>203</v>
      </c>
      <c r="J8" s="71" t="s">
        <v>217</v>
      </c>
      <c r="K8" s="99" t="s">
        <v>207</v>
      </c>
      <c r="L8" s="100" t="s">
        <v>207</v>
      </c>
      <c r="M8" s="100" t="s">
        <v>207</v>
      </c>
      <c r="N8" s="101" t="s">
        <v>207</v>
      </c>
      <c r="O8" s="101" t="s">
        <v>207</v>
      </c>
      <c r="P8" s="101" t="s">
        <v>207</v>
      </c>
      <c r="Q8" s="101" t="s">
        <v>207</v>
      </c>
      <c r="R8" s="71" t="s">
        <v>207</v>
      </c>
      <c r="S8" s="98" t="s">
        <v>207</v>
      </c>
      <c r="T8" s="71" t="s">
        <v>218</v>
      </c>
      <c r="U8" s="210" t="s">
        <v>209</v>
      </c>
      <c r="V8" s="90" t="s">
        <v>210</v>
      </c>
      <c r="W8" s="71">
        <v>16</v>
      </c>
      <c r="X8" s="71" t="s">
        <v>211</v>
      </c>
      <c r="Y8" s="98" t="s">
        <v>212</v>
      </c>
      <c r="AA8" s="71"/>
      <c r="AB8" s="71"/>
      <c r="AC8" s="71"/>
    </row>
    <row r="9" spans="1:83" ht="15" customHeight="1">
      <c r="A9" s="262"/>
      <c r="B9" s="211"/>
      <c r="C9" s="247"/>
      <c r="D9" s="75" t="s">
        <v>8</v>
      </c>
      <c r="F9" s="71">
        <v>18360</v>
      </c>
      <c r="G9" s="98" t="s">
        <v>207</v>
      </c>
      <c r="H9" s="71" t="s">
        <v>216</v>
      </c>
      <c r="I9" s="71" t="s">
        <v>203</v>
      </c>
      <c r="J9" s="71" t="s">
        <v>217</v>
      </c>
      <c r="K9" s="99" t="s">
        <v>207</v>
      </c>
      <c r="L9" s="100" t="s">
        <v>207</v>
      </c>
      <c r="M9" s="100" t="s">
        <v>207</v>
      </c>
      <c r="N9" s="101" t="s">
        <v>207</v>
      </c>
      <c r="O9" s="101" t="s">
        <v>207</v>
      </c>
      <c r="P9" s="101" t="s">
        <v>207</v>
      </c>
      <c r="Q9" s="101" t="s">
        <v>207</v>
      </c>
      <c r="R9" s="71" t="s">
        <v>207</v>
      </c>
      <c r="S9" s="98" t="s">
        <v>207</v>
      </c>
      <c r="T9" s="71" t="s">
        <v>219</v>
      </c>
      <c r="U9" s="210" t="s">
        <v>209</v>
      </c>
      <c r="V9" s="90" t="s">
        <v>210</v>
      </c>
      <c r="W9" s="71">
        <v>16</v>
      </c>
      <c r="X9" s="71" t="s">
        <v>211</v>
      </c>
      <c r="Y9" s="98" t="s">
        <v>212</v>
      </c>
      <c r="AA9" s="71"/>
      <c r="AB9" s="71"/>
      <c r="AC9" s="71"/>
    </row>
    <row r="10" spans="1:83" s="13" customFormat="1" ht="15.75" customHeight="1" thickBot="1">
      <c r="A10" s="263"/>
      <c r="B10" s="213"/>
      <c r="C10" s="266"/>
      <c r="D10" s="47" t="s">
        <v>8</v>
      </c>
      <c r="F10" s="13">
        <v>18241</v>
      </c>
      <c r="G10" s="14" t="s">
        <v>207</v>
      </c>
      <c r="H10" s="13" t="s">
        <v>216</v>
      </c>
      <c r="I10" s="13" t="s">
        <v>203</v>
      </c>
      <c r="J10" s="13" t="s">
        <v>217</v>
      </c>
      <c r="K10" s="25" t="s">
        <v>207</v>
      </c>
      <c r="L10" s="61" t="s">
        <v>207</v>
      </c>
      <c r="M10" s="61" t="s">
        <v>207</v>
      </c>
      <c r="N10" s="77" t="s">
        <v>207</v>
      </c>
      <c r="O10" s="77" t="s">
        <v>207</v>
      </c>
      <c r="P10" s="77" t="s">
        <v>207</v>
      </c>
      <c r="Q10" s="77" t="s">
        <v>207</v>
      </c>
      <c r="R10" s="13" t="s">
        <v>207</v>
      </c>
      <c r="S10" s="14" t="s">
        <v>207</v>
      </c>
      <c r="T10" s="13" t="s">
        <v>218</v>
      </c>
      <c r="U10" s="205" t="s">
        <v>209</v>
      </c>
      <c r="V10" s="91" t="s">
        <v>210</v>
      </c>
      <c r="W10" s="13">
        <v>16</v>
      </c>
      <c r="X10" s="13" t="s">
        <v>211</v>
      </c>
      <c r="Y10" s="14" t="s">
        <v>212</v>
      </c>
      <c r="Z10" s="14"/>
    </row>
    <row r="11" spans="1:83" ht="15.95">
      <c r="A11" s="245" t="s">
        <v>220</v>
      </c>
      <c r="B11" s="211" t="s">
        <v>10</v>
      </c>
      <c r="C11" s="242">
        <v>2</v>
      </c>
      <c r="D11" s="75" t="s">
        <v>221</v>
      </c>
      <c r="F11" s="206" t="s">
        <v>222</v>
      </c>
      <c r="G11" s="207" t="s">
        <v>223</v>
      </c>
      <c r="H11" s="71" t="s">
        <v>202</v>
      </c>
      <c r="I11" s="71" t="s">
        <v>203</v>
      </c>
      <c r="J11" s="71" t="s">
        <v>204</v>
      </c>
      <c r="K11" s="99">
        <v>203432</v>
      </c>
      <c r="L11" s="100">
        <v>126736375</v>
      </c>
      <c r="M11" s="100">
        <v>126939807</v>
      </c>
      <c r="N11" s="101">
        <v>126071975</v>
      </c>
      <c r="O11" s="101">
        <v>126072280</v>
      </c>
      <c r="P11" s="101">
        <v>126275264</v>
      </c>
      <c r="Q11" s="101">
        <v>126275613</v>
      </c>
      <c r="S11" s="98" t="s">
        <v>142</v>
      </c>
      <c r="T11" s="71" t="s">
        <v>208</v>
      </c>
      <c r="U11" s="90" t="s">
        <v>209</v>
      </c>
      <c r="V11" s="90" t="s">
        <v>210</v>
      </c>
      <c r="W11" s="98" t="s">
        <v>224</v>
      </c>
      <c r="X11" s="71" t="s">
        <v>225</v>
      </c>
      <c r="Y11" s="98" t="s">
        <v>226</v>
      </c>
      <c r="AC11" s="98" t="s">
        <v>227</v>
      </c>
      <c r="CE11" s="208"/>
    </row>
    <row r="12" spans="1:83" ht="17.100000000000001" thickBot="1">
      <c r="A12" s="246"/>
      <c r="B12" s="211"/>
      <c r="C12" s="242"/>
      <c r="D12" s="47" t="s">
        <v>221</v>
      </c>
      <c r="E12" s="13"/>
      <c r="F12" s="13">
        <v>15243</v>
      </c>
      <c r="G12" s="14" t="s">
        <v>228</v>
      </c>
      <c r="H12" s="13" t="s">
        <v>202</v>
      </c>
      <c r="I12" s="13" t="s">
        <v>203</v>
      </c>
      <c r="J12" s="13" t="s">
        <v>204</v>
      </c>
      <c r="K12" s="25">
        <v>203432</v>
      </c>
      <c r="L12" s="61">
        <v>126736375</v>
      </c>
      <c r="M12" s="61">
        <v>126939807</v>
      </c>
      <c r="N12" s="77">
        <v>126071975</v>
      </c>
      <c r="O12" s="77">
        <v>126072280</v>
      </c>
      <c r="P12" s="77">
        <v>126275264</v>
      </c>
      <c r="Q12" s="77">
        <v>126275613</v>
      </c>
      <c r="R12" s="13"/>
      <c r="S12" s="14" t="s">
        <v>142</v>
      </c>
      <c r="T12" s="13" t="s">
        <v>208</v>
      </c>
      <c r="U12" s="91" t="s">
        <v>209</v>
      </c>
      <c r="V12" s="91" t="s">
        <v>210</v>
      </c>
      <c r="W12" s="14" t="s">
        <v>224</v>
      </c>
      <c r="X12" s="13" t="s">
        <v>225</v>
      </c>
      <c r="Y12" s="14" t="s">
        <v>226</v>
      </c>
      <c r="Z12" s="14"/>
      <c r="AA12" s="14"/>
      <c r="AB12" s="14"/>
      <c r="AC12" s="14" t="s">
        <v>229</v>
      </c>
      <c r="AD12" s="13"/>
      <c r="AE12" s="13"/>
      <c r="AF12" s="13"/>
      <c r="AG12" s="13"/>
      <c r="AH12" s="13"/>
      <c r="AI12" s="13"/>
      <c r="AJ12" s="13"/>
      <c r="AK12" s="13"/>
      <c r="AL12" s="13"/>
      <c r="AM12" s="13"/>
      <c r="AN12" s="13"/>
      <c r="AO12" s="13"/>
      <c r="AP12" s="13"/>
      <c r="AQ12" s="13"/>
      <c r="AR12" s="13"/>
      <c r="AS12" s="13"/>
      <c r="AT12" s="13"/>
      <c r="AU12" s="13"/>
      <c r="AV12" s="13"/>
      <c r="AW12" s="13"/>
      <c r="AX12" s="13"/>
      <c r="AY12" s="13"/>
      <c r="AZ12" s="13"/>
      <c r="BA12" s="13"/>
      <c r="BB12" s="13"/>
      <c r="BC12" s="13"/>
      <c r="BD12" s="13"/>
      <c r="BE12" s="13"/>
      <c r="BF12" s="13"/>
      <c r="BG12" s="13"/>
      <c r="BH12" s="13"/>
      <c r="BI12" s="13"/>
      <c r="BJ12" s="13"/>
      <c r="BK12" s="13"/>
      <c r="BL12" s="13"/>
      <c r="BM12" s="13"/>
      <c r="BN12" s="13"/>
      <c r="BO12" s="13"/>
      <c r="BP12" s="13"/>
      <c r="BQ12" s="13"/>
      <c r="BR12" s="13"/>
      <c r="BS12" s="13"/>
      <c r="BT12" s="13"/>
      <c r="BU12" s="13"/>
      <c r="BV12" s="13"/>
      <c r="BW12" s="13"/>
      <c r="BX12" s="13"/>
      <c r="BY12" s="13"/>
      <c r="BZ12" s="13"/>
      <c r="CA12" s="13"/>
      <c r="CB12" s="13"/>
      <c r="CC12" s="13"/>
      <c r="CD12" s="13"/>
      <c r="CE12" s="187"/>
    </row>
    <row r="13" spans="1:83" s="11" customFormat="1" ht="17.100000000000001">
      <c r="A13" s="245" t="s">
        <v>230</v>
      </c>
      <c r="B13" s="211" t="s">
        <v>15</v>
      </c>
      <c r="C13" s="242">
        <v>3</v>
      </c>
      <c r="D13" s="17" t="s">
        <v>231</v>
      </c>
      <c r="F13" s="20" t="s">
        <v>232</v>
      </c>
      <c r="G13" s="12" t="s">
        <v>233</v>
      </c>
      <c r="H13" s="11" t="s">
        <v>202</v>
      </c>
      <c r="I13" s="164" t="s">
        <v>203</v>
      </c>
      <c r="J13" s="11" t="s">
        <v>204</v>
      </c>
      <c r="K13" s="4">
        <v>189731</v>
      </c>
      <c r="L13" s="62">
        <v>126742343</v>
      </c>
      <c r="M13" s="62">
        <v>126932074</v>
      </c>
      <c r="N13" s="78">
        <v>126077285</v>
      </c>
      <c r="O13" s="78">
        <v>126078164</v>
      </c>
      <c r="P13" s="78">
        <v>126267682</v>
      </c>
      <c r="Q13" s="78">
        <v>126267818</v>
      </c>
      <c r="R13" s="15">
        <v>189731</v>
      </c>
      <c r="S13" s="16" t="s">
        <v>143</v>
      </c>
      <c r="T13" s="11" t="s">
        <v>208</v>
      </c>
      <c r="U13" s="89" t="s">
        <v>234</v>
      </c>
      <c r="V13" s="89" t="s">
        <v>235</v>
      </c>
      <c r="Y13" s="12"/>
      <c r="Z13" s="12"/>
      <c r="AA13" s="12"/>
      <c r="AB13" s="12"/>
      <c r="AC13" s="12" t="s">
        <v>227</v>
      </c>
    </row>
    <row r="14" spans="1:83" s="13" customFormat="1" ht="18" thickBot="1">
      <c r="A14" s="246"/>
      <c r="B14" s="211"/>
      <c r="C14" s="242"/>
      <c r="D14" s="47" t="s">
        <v>231</v>
      </c>
      <c r="F14" s="13">
        <v>20776</v>
      </c>
      <c r="G14" s="14" t="s">
        <v>236</v>
      </c>
      <c r="H14" s="13" t="s">
        <v>202</v>
      </c>
      <c r="I14" s="219" t="s">
        <v>203</v>
      </c>
      <c r="J14" s="13" t="s">
        <v>204</v>
      </c>
      <c r="K14" s="25">
        <v>189731</v>
      </c>
      <c r="L14" s="220">
        <v>126742343</v>
      </c>
      <c r="M14" s="220">
        <v>126932074</v>
      </c>
      <c r="N14" s="221">
        <v>126077285</v>
      </c>
      <c r="O14" s="221">
        <v>126078164</v>
      </c>
      <c r="P14" s="221">
        <v>126267682</v>
      </c>
      <c r="Q14" s="221">
        <v>126267818</v>
      </c>
      <c r="R14" s="222">
        <v>189731</v>
      </c>
      <c r="S14" s="223" t="s">
        <v>143</v>
      </c>
      <c r="T14" s="13" t="s">
        <v>208</v>
      </c>
      <c r="U14" s="91" t="s">
        <v>234</v>
      </c>
      <c r="V14" s="91" t="s">
        <v>235</v>
      </c>
      <c r="Y14" s="14"/>
      <c r="Z14" s="14"/>
      <c r="AA14" s="14"/>
      <c r="AB14" s="14"/>
      <c r="AC14" s="14" t="s">
        <v>237</v>
      </c>
    </row>
    <row r="15" spans="1:83" s="11" customFormat="1" ht="15.95">
      <c r="A15" s="245" t="s">
        <v>238</v>
      </c>
      <c r="B15" s="211" t="s">
        <v>19</v>
      </c>
      <c r="C15" s="242">
        <v>4</v>
      </c>
      <c r="D15" s="17" t="s">
        <v>22</v>
      </c>
      <c r="E15" s="11" t="s">
        <v>239</v>
      </c>
      <c r="F15" s="11" t="s">
        <v>240</v>
      </c>
      <c r="G15" s="12" t="s">
        <v>241</v>
      </c>
      <c r="H15" s="11" t="s">
        <v>202</v>
      </c>
      <c r="I15" s="164" t="s">
        <v>203</v>
      </c>
      <c r="J15" s="11" t="s">
        <v>204</v>
      </c>
      <c r="K15" s="18">
        <v>150283</v>
      </c>
      <c r="L15" s="151">
        <v>126763901</v>
      </c>
      <c r="M15" s="151">
        <v>126914184</v>
      </c>
      <c r="N15" s="152">
        <v>126099353</v>
      </c>
      <c r="O15" s="152">
        <v>126103994</v>
      </c>
      <c r="P15" s="152">
        <v>126249539</v>
      </c>
      <c r="Q15" s="152">
        <v>126249998</v>
      </c>
      <c r="R15" s="15">
        <v>150283</v>
      </c>
      <c r="S15" s="16" t="s">
        <v>242</v>
      </c>
      <c r="T15" s="11" t="s">
        <v>208</v>
      </c>
      <c r="U15" s="97" t="s">
        <v>243</v>
      </c>
      <c r="V15" s="97" t="s">
        <v>244</v>
      </c>
      <c r="X15" s="11">
        <v>3</v>
      </c>
      <c r="Y15" s="12"/>
      <c r="Z15" s="12"/>
      <c r="AA15" s="12">
        <v>459</v>
      </c>
      <c r="AB15" s="12">
        <v>1.89</v>
      </c>
      <c r="AC15" s="2" t="s">
        <v>245</v>
      </c>
    </row>
    <row r="16" spans="1:83" s="73" customFormat="1" ht="15.95">
      <c r="A16" s="255"/>
      <c r="B16" s="211"/>
      <c r="C16" s="242"/>
      <c r="D16" s="75" t="s">
        <v>22</v>
      </c>
      <c r="E16" s="73" t="s">
        <v>246</v>
      </c>
      <c r="G16" s="107" t="s">
        <v>207</v>
      </c>
      <c r="H16" s="73" t="s">
        <v>202</v>
      </c>
      <c r="I16" s="121" t="s">
        <v>203</v>
      </c>
      <c r="J16" s="73" t="s">
        <v>204</v>
      </c>
      <c r="K16" s="114"/>
      <c r="L16" s="115"/>
      <c r="M16" s="115"/>
      <c r="N16" s="116">
        <v>126104053</v>
      </c>
      <c r="O16" s="116">
        <v>126104176</v>
      </c>
      <c r="P16" s="116">
        <v>126250894</v>
      </c>
      <c r="Q16" s="116">
        <v>126250984</v>
      </c>
      <c r="R16" s="117">
        <v>150283</v>
      </c>
      <c r="S16" s="118" t="s">
        <v>247</v>
      </c>
      <c r="T16" s="119" t="s">
        <v>208</v>
      </c>
      <c r="U16" s="112" t="s">
        <v>243</v>
      </c>
      <c r="V16" s="112" t="s">
        <v>244</v>
      </c>
      <c r="W16" s="71"/>
      <c r="X16" s="71">
        <v>3</v>
      </c>
      <c r="Y16" s="98"/>
      <c r="Z16" s="98" t="s">
        <v>248</v>
      </c>
      <c r="AA16" s="98">
        <v>30.1</v>
      </c>
      <c r="AB16" s="98">
        <v>1.78</v>
      </c>
      <c r="AC16" s="118" t="s">
        <v>249</v>
      </c>
    </row>
    <row r="17" spans="1:29" ht="15.95">
      <c r="A17" s="255"/>
      <c r="B17" s="211"/>
      <c r="C17" s="242"/>
      <c r="D17" s="75" t="s">
        <v>22</v>
      </c>
      <c r="E17" s="71" t="s">
        <v>250</v>
      </c>
      <c r="G17" s="98" t="s">
        <v>207</v>
      </c>
      <c r="H17" s="71" t="s">
        <v>251</v>
      </c>
      <c r="I17" s="121" t="s">
        <v>203</v>
      </c>
      <c r="J17" s="71" t="s">
        <v>204</v>
      </c>
      <c r="K17" s="109">
        <v>150283</v>
      </c>
      <c r="L17" s="110">
        <v>126763901</v>
      </c>
      <c r="M17" s="110">
        <v>126914184</v>
      </c>
      <c r="S17" s="113" t="s">
        <v>247</v>
      </c>
      <c r="T17" s="95"/>
      <c r="U17" s="112" t="s">
        <v>243</v>
      </c>
      <c r="V17" s="112" t="s">
        <v>244</v>
      </c>
      <c r="X17" s="71">
        <v>3</v>
      </c>
      <c r="Z17" s="98" t="s">
        <v>252</v>
      </c>
      <c r="AA17" s="98">
        <v>462.3</v>
      </c>
      <c r="AB17" s="98">
        <v>1.87</v>
      </c>
      <c r="AC17" s="98" t="s">
        <v>253</v>
      </c>
    </row>
    <row r="18" spans="1:29" ht="15.95">
      <c r="A18" s="255"/>
      <c r="B18" s="211"/>
      <c r="C18" s="242"/>
      <c r="D18" s="75" t="s">
        <v>22</v>
      </c>
      <c r="E18" s="71" t="s">
        <v>254</v>
      </c>
      <c r="G18" s="98" t="s">
        <v>207</v>
      </c>
      <c r="H18" s="71" t="s">
        <v>251</v>
      </c>
      <c r="I18" s="121" t="s">
        <v>203</v>
      </c>
      <c r="J18" s="71" t="s">
        <v>204</v>
      </c>
      <c r="K18" s="109">
        <v>150283</v>
      </c>
      <c r="L18" s="110">
        <v>126763901</v>
      </c>
      <c r="M18" s="110">
        <v>126914184</v>
      </c>
      <c r="S18" s="113" t="s">
        <v>247</v>
      </c>
      <c r="T18" s="95"/>
      <c r="U18" s="112" t="s">
        <v>243</v>
      </c>
      <c r="V18" s="112" t="s">
        <v>244</v>
      </c>
      <c r="X18" s="71">
        <v>3</v>
      </c>
      <c r="Z18" s="98" t="s">
        <v>252</v>
      </c>
      <c r="AA18" s="98">
        <v>99.3</v>
      </c>
      <c r="AB18" s="98">
        <v>1.76</v>
      </c>
      <c r="AC18" s="98" t="s">
        <v>253</v>
      </c>
    </row>
    <row r="19" spans="1:29" ht="15.95">
      <c r="A19" s="255"/>
      <c r="B19" s="211"/>
      <c r="C19" s="242"/>
      <c r="D19" s="75" t="s">
        <v>22</v>
      </c>
      <c r="E19" s="71" t="s">
        <v>255</v>
      </c>
      <c r="G19" s="98" t="s">
        <v>207</v>
      </c>
      <c r="H19" s="71" t="s">
        <v>251</v>
      </c>
      <c r="I19" s="121" t="s">
        <v>203</v>
      </c>
      <c r="J19" s="71" t="s">
        <v>204</v>
      </c>
      <c r="K19" s="109">
        <v>150283</v>
      </c>
      <c r="L19" s="110">
        <v>126763901</v>
      </c>
      <c r="M19" s="110">
        <v>126914184</v>
      </c>
      <c r="S19" s="113" t="s">
        <v>247</v>
      </c>
      <c r="T19" s="95"/>
      <c r="U19" s="112" t="s">
        <v>243</v>
      </c>
      <c r="V19" s="112" t="s">
        <v>244</v>
      </c>
      <c r="X19" s="71">
        <v>3</v>
      </c>
      <c r="Z19" s="98" t="s">
        <v>248</v>
      </c>
      <c r="AA19" s="98">
        <v>432.1</v>
      </c>
      <c r="AB19" s="98">
        <v>1.86</v>
      </c>
      <c r="AC19" s="98" t="s">
        <v>253</v>
      </c>
    </row>
    <row r="20" spans="1:29" s="72" customFormat="1" ht="15.95" thickBot="1">
      <c r="A20" s="255"/>
      <c r="B20" s="211"/>
      <c r="C20" s="242"/>
      <c r="D20" s="72" t="s">
        <v>256</v>
      </c>
      <c r="E20" s="72">
        <v>2835</v>
      </c>
      <c r="G20" s="94" t="s">
        <v>257</v>
      </c>
      <c r="I20" s="94"/>
      <c r="K20" s="138"/>
      <c r="L20" s="130"/>
      <c r="M20" s="130"/>
      <c r="N20" s="129"/>
      <c r="O20" s="129"/>
      <c r="P20" s="129"/>
      <c r="Q20" s="129"/>
      <c r="S20" s="94"/>
      <c r="T20" s="96" t="s">
        <v>258</v>
      </c>
      <c r="U20" s="94"/>
      <c r="V20" s="94"/>
      <c r="Y20" s="94"/>
      <c r="Z20" s="94"/>
      <c r="AA20" s="94"/>
      <c r="AB20" s="94"/>
      <c r="AC20" s="94" t="s">
        <v>259</v>
      </c>
    </row>
    <row r="21" spans="1:29" s="72" customFormat="1" ht="15" customHeight="1">
      <c r="A21" s="255"/>
      <c r="B21" s="211"/>
      <c r="C21" s="242"/>
      <c r="D21" s="72" t="s">
        <v>22</v>
      </c>
      <c r="F21" s="72" t="s">
        <v>260</v>
      </c>
      <c r="G21" s="155" t="s">
        <v>261</v>
      </c>
      <c r="I21" s="94"/>
      <c r="K21" s="138"/>
      <c r="L21" s="130"/>
      <c r="M21" s="130"/>
      <c r="N21" s="129"/>
      <c r="O21" s="129"/>
      <c r="P21" s="129"/>
      <c r="Q21" s="129"/>
      <c r="S21" s="94"/>
      <c r="T21" s="234" t="s">
        <v>208</v>
      </c>
      <c r="U21" s="94"/>
      <c r="V21" s="94"/>
      <c r="Y21" s="94"/>
      <c r="Z21" s="94"/>
      <c r="AA21" s="94"/>
      <c r="AB21" s="94"/>
      <c r="AC21" s="94" t="s">
        <v>259</v>
      </c>
    </row>
    <row r="22" spans="1:29" s="72" customFormat="1" ht="15.95">
      <c r="A22" s="255"/>
      <c r="B22" s="211"/>
      <c r="C22" s="242"/>
      <c r="D22" s="72" t="s">
        <v>22</v>
      </c>
      <c r="F22" s="72" t="s">
        <v>262</v>
      </c>
      <c r="G22" s="155" t="s">
        <v>261</v>
      </c>
      <c r="I22" s="94"/>
      <c r="K22" s="138"/>
      <c r="L22" s="130"/>
      <c r="M22" s="130"/>
      <c r="N22" s="129"/>
      <c r="O22" s="129"/>
      <c r="P22" s="129"/>
      <c r="Q22" s="129"/>
      <c r="S22" s="94"/>
      <c r="T22" s="235"/>
      <c r="U22" s="94"/>
      <c r="V22" s="94"/>
      <c r="Y22" s="94"/>
      <c r="Z22" s="94"/>
      <c r="AA22" s="94"/>
      <c r="AB22" s="94"/>
      <c r="AC22" s="94" t="s">
        <v>259</v>
      </c>
    </row>
    <row r="23" spans="1:29" s="72" customFormat="1" ht="15.95">
      <c r="A23" s="255"/>
      <c r="B23" s="211"/>
      <c r="C23" s="242"/>
      <c r="D23" s="72" t="s">
        <v>22</v>
      </c>
      <c r="F23" s="72" t="s">
        <v>263</v>
      </c>
      <c r="G23" s="155" t="s">
        <v>261</v>
      </c>
      <c r="I23" s="94"/>
      <c r="K23" s="138"/>
      <c r="L23" s="130"/>
      <c r="M23" s="130"/>
      <c r="N23" s="129"/>
      <c r="O23" s="129"/>
      <c r="P23" s="129"/>
      <c r="Q23" s="129"/>
      <c r="S23" s="94"/>
      <c r="T23" s="235"/>
      <c r="U23" s="94"/>
      <c r="V23" s="94"/>
      <c r="Y23" s="94"/>
      <c r="Z23" s="94"/>
      <c r="AA23" s="94"/>
      <c r="AB23" s="94"/>
      <c r="AC23" s="94" t="s">
        <v>259</v>
      </c>
    </row>
    <row r="24" spans="1:29" s="72" customFormat="1" ht="15.95">
      <c r="A24" s="255"/>
      <c r="B24" s="211"/>
      <c r="C24" s="242"/>
      <c r="D24" s="72" t="s">
        <v>264</v>
      </c>
      <c r="F24" s="72" t="s">
        <v>265</v>
      </c>
      <c r="G24" s="155" t="s">
        <v>261</v>
      </c>
      <c r="I24" s="94"/>
      <c r="K24" s="138"/>
      <c r="L24" s="130"/>
      <c r="M24" s="130"/>
      <c r="N24" s="129"/>
      <c r="O24" s="129"/>
      <c r="P24" s="129"/>
      <c r="Q24" s="129"/>
      <c r="S24" s="94"/>
      <c r="T24" s="235"/>
      <c r="U24" s="94"/>
      <c r="V24" s="94"/>
      <c r="Y24" s="94"/>
      <c r="Z24" s="94"/>
      <c r="AA24" s="94"/>
      <c r="AB24" s="94"/>
      <c r="AC24" s="94" t="s">
        <v>259</v>
      </c>
    </row>
    <row r="25" spans="1:29" s="72" customFormat="1" ht="15" customHeight="1">
      <c r="A25" s="255"/>
      <c r="B25" s="211"/>
      <c r="C25" s="242"/>
      <c r="D25" s="155" t="s">
        <v>261</v>
      </c>
      <c r="E25" s="177" t="s">
        <v>266</v>
      </c>
      <c r="F25" s="72">
        <v>390.1</v>
      </c>
      <c r="G25" s="94">
        <v>390</v>
      </c>
      <c r="I25" s="94"/>
      <c r="K25" s="138"/>
      <c r="L25" s="130"/>
      <c r="M25" s="130"/>
      <c r="N25" s="129"/>
      <c r="O25" s="129"/>
      <c r="P25" s="129"/>
      <c r="Q25" s="129"/>
      <c r="S25" s="94"/>
      <c r="T25" s="72" t="s">
        <v>267</v>
      </c>
      <c r="U25" s="94"/>
      <c r="V25" s="94"/>
      <c r="Y25" s="94"/>
      <c r="Z25" s="94"/>
      <c r="AA25" s="94"/>
      <c r="AB25" s="94"/>
      <c r="AC25" s="94" t="s">
        <v>268</v>
      </c>
    </row>
    <row r="26" spans="1:29" s="72" customFormat="1" ht="32.1">
      <c r="A26" s="255"/>
      <c r="B26" s="211"/>
      <c r="C26" s="242"/>
      <c r="D26" s="155" t="s">
        <v>261</v>
      </c>
      <c r="E26" s="177" t="s">
        <v>266</v>
      </c>
      <c r="F26" s="72" t="s">
        <v>269</v>
      </c>
      <c r="G26" s="94">
        <v>390</v>
      </c>
      <c r="I26" s="94"/>
      <c r="K26" s="138"/>
      <c r="L26" s="130"/>
      <c r="M26" s="130"/>
      <c r="N26" s="129"/>
      <c r="O26" s="129"/>
      <c r="P26" s="129"/>
      <c r="Q26" s="129"/>
      <c r="S26" s="94"/>
      <c r="T26" s="72" t="s">
        <v>270</v>
      </c>
      <c r="U26" s="94"/>
      <c r="V26" s="94"/>
      <c r="Y26" s="94"/>
      <c r="Z26" s="94"/>
      <c r="AA26" s="94"/>
      <c r="AB26" s="94"/>
      <c r="AC26" s="94" t="s">
        <v>268</v>
      </c>
    </row>
    <row r="27" spans="1:29" s="72" customFormat="1" ht="32.1">
      <c r="A27" s="255"/>
      <c r="B27" s="211"/>
      <c r="C27" s="242"/>
      <c r="D27" s="155" t="s">
        <v>261</v>
      </c>
      <c r="E27" s="177" t="s">
        <v>266</v>
      </c>
      <c r="F27" s="72" t="s">
        <v>271</v>
      </c>
      <c r="G27" s="94">
        <v>390</v>
      </c>
      <c r="I27" s="94"/>
      <c r="K27" s="138"/>
      <c r="L27" s="130"/>
      <c r="M27" s="130"/>
      <c r="N27" s="129"/>
      <c r="O27" s="129"/>
      <c r="P27" s="129"/>
      <c r="Q27" s="129"/>
      <c r="S27" s="94"/>
      <c r="T27" s="72" t="s">
        <v>270</v>
      </c>
      <c r="U27" s="94"/>
      <c r="V27" s="94"/>
      <c r="Y27" s="94"/>
      <c r="Z27" s="94"/>
      <c r="AA27" s="94"/>
      <c r="AB27" s="94"/>
      <c r="AC27" s="94" t="s">
        <v>259</v>
      </c>
    </row>
    <row r="28" spans="1:29" s="72" customFormat="1" ht="32.1">
      <c r="A28" s="255"/>
      <c r="B28" s="211"/>
      <c r="C28" s="242"/>
      <c r="D28" s="155" t="s">
        <v>261</v>
      </c>
      <c r="E28" s="177" t="s">
        <v>266</v>
      </c>
      <c r="F28" s="72">
        <v>390.2</v>
      </c>
      <c r="G28" s="94">
        <v>390</v>
      </c>
      <c r="I28" s="94"/>
      <c r="K28" s="138"/>
      <c r="L28" s="130"/>
      <c r="M28" s="130"/>
      <c r="N28" s="129"/>
      <c r="O28" s="129"/>
      <c r="P28" s="129"/>
      <c r="Q28" s="129"/>
      <c r="S28" s="94"/>
      <c r="T28" s="72" t="s">
        <v>272</v>
      </c>
      <c r="U28" s="94"/>
      <c r="V28" s="94"/>
      <c r="Y28" s="94"/>
      <c r="Z28" s="94"/>
      <c r="AA28" s="94"/>
      <c r="AB28" s="94"/>
      <c r="AC28" s="94" t="s">
        <v>273</v>
      </c>
    </row>
    <row r="29" spans="1:29" s="73" customFormat="1">
      <c r="A29" s="255"/>
      <c r="B29" s="211"/>
      <c r="C29" s="242"/>
      <c r="D29" s="73" t="s">
        <v>274</v>
      </c>
      <c r="E29" s="73" t="s">
        <v>275</v>
      </c>
      <c r="G29" s="118" t="s">
        <v>276</v>
      </c>
      <c r="I29" s="107"/>
      <c r="J29" s="73" t="s">
        <v>277</v>
      </c>
      <c r="K29" s="136"/>
      <c r="L29" s="132"/>
      <c r="M29" s="132"/>
      <c r="N29" s="133">
        <v>126092691</v>
      </c>
      <c r="O29" s="133">
        <v>126093020</v>
      </c>
      <c r="P29" s="133">
        <v>126250346</v>
      </c>
      <c r="Q29" s="133">
        <v>126250590</v>
      </c>
      <c r="R29" s="73">
        <v>157327</v>
      </c>
      <c r="S29" s="107"/>
      <c r="T29" s="95"/>
      <c r="U29" s="107"/>
      <c r="V29" s="107"/>
      <c r="Y29" s="107"/>
      <c r="Z29" s="107" t="s">
        <v>252</v>
      </c>
      <c r="AA29" s="107">
        <v>502.3</v>
      </c>
      <c r="AB29" s="107">
        <v>1.91</v>
      </c>
      <c r="AC29" s="107" t="s">
        <v>278</v>
      </c>
    </row>
    <row r="30" spans="1:29" s="72" customFormat="1">
      <c r="A30" s="255"/>
      <c r="B30" s="211"/>
      <c r="C30" s="242"/>
      <c r="D30" s="72" t="s">
        <v>274</v>
      </c>
      <c r="E30" s="72" t="s">
        <v>279</v>
      </c>
      <c r="F30" s="72" t="s">
        <v>280</v>
      </c>
      <c r="G30" s="137" t="s">
        <v>276</v>
      </c>
      <c r="I30" s="94"/>
      <c r="K30" s="138"/>
      <c r="L30" s="130"/>
      <c r="M30" s="130"/>
      <c r="N30" s="129"/>
      <c r="O30" s="129"/>
      <c r="P30" s="129"/>
      <c r="Q30" s="129"/>
      <c r="S30" s="94"/>
      <c r="T30" s="95" t="s">
        <v>281</v>
      </c>
      <c r="U30" s="94"/>
      <c r="V30" s="94"/>
      <c r="Y30" s="94"/>
      <c r="Z30" s="94" t="s">
        <v>252</v>
      </c>
      <c r="AA30" s="94">
        <v>50.4</v>
      </c>
      <c r="AB30" s="202">
        <v>1.44</v>
      </c>
      <c r="AC30" s="94"/>
    </row>
    <row r="31" spans="1:29" s="72" customFormat="1" ht="17.100000000000001" thickBot="1">
      <c r="A31" s="246"/>
      <c r="B31" s="211"/>
      <c r="C31" s="242"/>
      <c r="D31" s="127" t="s">
        <v>274</v>
      </c>
      <c r="E31" s="72" t="s">
        <v>282</v>
      </c>
      <c r="F31" s="72" t="s">
        <v>283</v>
      </c>
      <c r="G31" s="137" t="s">
        <v>284</v>
      </c>
      <c r="H31" s="72" t="s">
        <v>202</v>
      </c>
      <c r="K31" s="138"/>
      <c r="L31" s="130"/>
      <c r="M31" s="130"/>
      <c r="N31" s="129"/>
      <c r="O31" s="129"/>
      <c r="P31" s="129"/>
      <c r="Q31" s="129"/>
      <c r="S31" s="94"/>
      <c r="T31" s="95"/>
      <c r="U31" s="94"/>
      <c r="V31" s="94"/>
      <c r="Y31" s="94"/>
      <c r="Z31" s="94" t="s">
        <v>252</v>
      </c>
      <c r="AA31" s="94">
        <v>50.2</v>
      </c>
      <c r="AB31" s="202">
        <v>1.38</v>
      </c>
      <c r="AC31" s="94" t="s">
        <v>285</v>
      </c>
    </row>
    <row r="32" spans="1:29" s="21" customFormat="1" ht="17.100000000000001" thickBot="1">
      <c r="A32" s="245" t="s">
        <v>286</v>
      </c>
      <c r="B32" s="211" t="s">
        <v>23</v>
      </c>
      <c r="C32" s="242">
        <v>5</v>
      </c>
      <c r="D32" s="24" t="s">
        <v>287</v>
      </c>
      <c r="F32" s="21" t="s">
        <v>288</v>
      </c>
      <c r="G32" s="22"/>
      <c r="H32" s="21" t="s">
        <v>202</v>
      </c>
      <c r="I32" s="22"/>
      <c r="J32" s="21" t="s">
        <v>204</v>
      </c>
      <c r="K32" s="5">
        <v>238941</v>
      </c>
      <c r="L32" s="63">
        <v>126683194</v>
      </c>
      <c r="M32" s="63">
        <v>126922135</v>
      </c>
      <c r="N32" s="79"/>
      <c r="O32" s="79"/>
      <c r="P32" s="79"/>
      <c r="Q32" s="79"/>
      <c r="S32" s="22"/>
      <c r="T32" s="49"/>
      <c r="U32" s="22"/>
      <c r="V32" s="22"/>
      <c r="Y32" s="22"/>
      <c r="Z32" s="22"/>
      <c r="AA32" s="22"/>
      <c r="AB32" s="22"/>
      <c r="AC32" s="22"/>
    </row>
    <row r="33" spans="1:29" s="21" customFormat="1" ht="18" thickBot="1">
      <c r="A33" s="246"/>
      <c r="B33" s="211"/>
      <c r="C33" s="242"/>
      <c r="D33" s="24" t="s">
        <v>26</v>
      </c>
      <c r="F33" s="146" t="s">
        <v>289</v>
      </c>
      <c r="G33" s="22" t="s">
        <v>290</v>
      </c>
      <c r="H33" s="21" t="s">
        <v>202</v>
      </c>
      <c r="I33" s="24" t="s">
        <v>203</v>
      </c>
      <c r="J33" s="21" t="s">
        <v>204</v>
      </c>
      <c r="K33" s="147">
        <v>238946</v>
      </c>
      <c r="L33" s="148">
        <v>126683195</v>
      </c>
      <c r="M33" s="148">
        <v>126922141</v>
      </c>
      <c r="N33" s="149">
        <v>126018839</v>
      </c>
      <c r="O33" s="149">
        <v>126018927</v>
      </c>
      <c r="P33" s="149">
        <v>126258026</v>
      </c>
      <c r="Q33" s="149">
        <v>126258127</v>
      </c>
      <c r="S33" s="150" t="s">
        <v>145</v>
      </c>
      <c r="T33" s="21" t="s">
        <v>208</v>
      </c>
      <c r="U33" s="22" t="s">
        <v>291</v>
      </c>
      <c r="V33" s="22" t="s">
        <v>292</v>
      </c>
      <c r="X33" s="21">
        <v>1</v>
      </c>
      <c r="Y33" s="22"/>
      <c r="Z33" s="22"/>
      <c r="AA33" s="22"/>
      <c r="AB33" s="22"/>
      <c r="AC33" s="22"/>
    </row>
    <row r="34" spans="1:29" s="21" customFormat="1" ht="17.100000000000001" thickBot="1">
      <c r="A34" s="245" t="s">
        <v>293</v>
      </c>
      <c r="B34" s="211" t="s">
        <v>27</v>
      </c>
      <c r="C34" s="267" t="s">
        <v>294</v>
      </c>
      <c r="D34" s="24" t="s">
        <v>295</v>
      </c>
      <c r="E34" s="21" t="s">
        <v>296</v>
      </c>
      <c r="G34" s="22" t="s">
        <v>207</v>
      </c>
      <c r="H34" s="179" t="s">
        <v>297</v>
      </c>
      <c r="I34" s="21" t="s">
        <v>203</v>
      </c>
      <c r="J34" s="21" t="s">
        <v>204</v>
      </c>
      <c r="K34" s="5" t="s">
        <v>298</v>
      </c>
      <c r="L34" s="63" t="s">
        <v>299</v>
      </c>
      <c r="M34" s="63" t="s">
        <v>300</v>
      </c>
      <c r="N34" s="79"/>
      <c r="O34" s="79"/>
      <c r="P34" s="79"/>
      <c r="Q34" s="79"/>
      <c r="S34" s="22" t="s">
        <v>148</v>
      </c>
      <c r="T34" s="21" t="s">
        <v>208</v>
      </c>
      <c r="U34" s="22" t="s">
        <v>291</v>
      </c>
      <c r="V34" s="22" t="s">
        <v>301</v>
      </c>
      <c r="X34" s="21">
        <v>1</v>
      </c>
      <c r="Y34" s="22"/>
      <c r="Z34" s="22"/>
      <c r="AA34" s="22"/>
      <c r="AB34" s="22"/>
      <c r="AC34" s="22" t="s">
        <v>302</v>
      </c>
    </row>
    <row r="35" spans="1:29">
      <c r="A35" s="255"/>
      <c r="B35" s="211"/>
      <c r="C35" s="267"/>
      <c r="E35" s="71" t="s">
        <v>303</v>
      </c>
      <c r="H35" s="175" t="s">
        <v>297</v>
      </c>
      <c r="I35" s="71" t="s">
        <v>203</v>
      </c>
      <c r="J35" s="71" t="s">
        <v>204</v>
      </c>
      <c r="K35" s="99" t="s">
        <v>304</v>
      </c>
      <c r="L35" s="100" t="s">
        <v>305</v>
      </c>
      <c r="M35" s="100" t="s">
        <v>306</v>
      </c>
      <c r="S35" s="98" t="s">
        <v>148</v>
      </c>
      <c r="T35" s="71" t="s">
        <v>208</v>
      </c>
      <c r="U35" s="98" t="s">
        <v>291</v>
      </c>
      <c r="V35" s="98" t="s">
        <v>307</v>
      </c>
      <c r="X35" s="71">
        <v>1</v>
      </c>
      <c r="AC35" s="113" t="s">
        <v>308</v>
      </c>
    </row>
    <row r="36" spans="1:29" s="13" customFormat="1" ht="17.100000000000001" thickBot="1">
      <c r="A36" s="246"/>
      <c r="B36" s="211"/>
      <c r="C36" s="267"/>
      <c r="D36" s="47" t="s">
        <v>309</v>
      </c>
      <c r="E36" s="13" t="s">
        <v>310</v>
      </c>
      <c r="G36" s="14"/>
      <c r="H36" s="166" t="s">
        <v>297</v>
      </c>
      <c r="I36" s="13" t="s">
        <v>203</v>
      </c>
      <c r="J36" s="13" t="s">
        <v>204</v>
      </c>
      <c r="K36" s="25" t="s">
        <v>311</v>
      </c>
      <c r="L36" s="61" t="s">
        <v>312</v>
      </c>
      <c r="M36" s="61" t="s">
        <v>313</v>
      </c>
      <c r="N36" s="77"/>
      <c r="O36" s="77"/>
      <c r="P36" s="77"/>
      <c r="Q36" s="77"/>
      <c r="S36" s="14" t="s">
        <v>148</v>
      </c>
      <c r="T36" s="13" t="s">
        <v>208</v>
      </c>
      <c r="U36" s="14" t="s">
        <v>291</v>
      </c>
      <c r="V36" s="14" t="s">
        <v>314</v>
      </c>
      <c r="X36" s="13">
        <v>1</v>
      </c>
      <c r="Y36" s="14"/>
      <c r="Z36" s="14"/>
      <c r="AA36" s="14"/>
      <c r="AB36" s="14"/>
      <c r="AC36" s="14" t="s">
        <v>308</v>
      </c>
    </row>
    <row r="37" spans="1:29" s="11" customFormat="1" ht="15.95">
      <c r="A37" s="188" t="s">
        <v>315</v>
      </c>
      <c r="B37" s="211" t="s">
        <v>316</v>
      </c>
      <c r="C37" s="267"/>
      <c r="D37" s="17" t="s">
        <v>317</v>
      </c>
      <c r="G37" s="12"/>
      <c r="H37" s="167" t="s">
        <v>318</v>
      </c>
      <c r="I37" s="23" t="s">
        <v>203</v>
      </c>
      <c r="J37" s="23" t="s">
        <v>204</v>
      </c>
      <c r="K37" s="4" t="s">
        <v>319</v>
      </c>
      <c r="L37" s="60" t="s">
        <v>320</v>
      </c>
      <c r="M37" s="60" t="s">
        <v>321</v>
      </c>
      <c r="N37" s="76"/>
      <c r="O37" s="76"/>
      <c r="P37" s="76"/>
      <c r="Q37" s="76"/>
      <c r="S37" s="19" t="s">
        <v>148</v>
      </c>
      <c r="T37" s="23" t="s">
        <v>208</v>
      </c>
      <c r="U37" s="19" t="s">
        <v>291</v>
      </c>
      <c r="V37" s="19" t="s">
        <v>322</v>
      </c>
      <c r="Y37" s="12"/>
      <c r="Z37" s="12"/>
      <c r="AA37" s="12"/>
      <c r="AB37" s="12"/>
      <c r="AC37" s="2" t="s">
        <v>308</v>
      </c>
    </row>
    <row r="38" spans="1:29" s="13" customFormat="1" ht="17.100000000000001" thickBot="1">
      <c r="A38" s="188" t="s">
        <v>323</v>
      </c>
      <c r="B38" s="211"/>
      <c r="C38" s="267"/>
      <c r="D38" s="47" t="s">
        <v>324</v>
      </c>
      <c r="F38" s="13" t="s">
        <v>325</v>
      </c>
      <c r="G38" s="14"/>
      <c r="H38" s="166" t="s">
        <v>297</v>
      </c>
      <c r="J38" s="13" t="s">
        <v>204</v>
      </c>
      <c r="K38" s="25">
        <v>13364</v>
      </c>
      <c r="L38" s="156">
        <v>126895281</v>
      </c>
      <c r="M38" s="156">
        <v>126908645</v>
      </c>
      <c r="N38" s="77">
        <v>126232112</v>
      </c>
      <c r="O38" s="77">
        <v>126232239</v>
      </c>
      <c r="P38" s="77">
        <v>126239320</v>
      </c>
      <c r="Q38" s="77">
        <v>126239542</v>
      </c>
      <c r="S38" s="14" t="s">
        <v>326</v>
      </c>
      <c r="T38" s="50"/>
      <c r="U38" s="14"/>
      <c r="V38" s="14"/>
      <c r="Y38" s="14"/>
      <c r="Z38" s="14"/>
      <c r="AA38" s="14"/>
      <c r="AB38" s="14"/>
      <c r="AC38" s="14"/>
    </row>
    <row r="39" spans="1:29" s="11" customFormat="1" ht="17.100000000000001" thickBot="1">
      <c r="B39" s="71"/>
      <c r="C39" s="267"/>
      <c r="D39" s="17" t="s">
        <v>327</v>
      </c>
      <c r="E39" s="11" t="s">
        <v>328</v>
      </c>
      <c r="F39" s="11" t="s">
        <v>329</v>
      </c>
      <c r="G39" s="12"/>
      <c r="I39" s="12"/>
      <c r="J39" s="11" t="s">
        <v>204</v>
      </c>
      <c r="K39" s="4">
        <v>169456</v>
      </c>
      <c r="L39" s="60">
        <v>126761184</v>
      </c>
      <c r="M39" s="60">
        <v>126930640</v>
      </c>
      <c r="N39" s="76">
        <v>126096921</v>
      </c>
      <c r="O39" s="76">
        <v>126097092</v>
      </c>
      <c r="P39" s="76">
        <v>126266094</v>
      </c>
      <c r="Q39" s="76">
        <v>126266417</v>
      </c>
      <c r="R39" s="1">
        <v>169003</v>
      </c>
      <c r="S39" s="12" t="s">
        <v>330</v>
      </c>
      <c r="T39" s="11" t="s">
        <v>208</v>
      </c>
      <c r="U39" s="12"/>
      <c r="V39" s="12"/>
      <c r="Y39" s="12"/>
      <c r="Z39" s="12" t="s">
        <v>331</v>
      </c>
      <c r="AA39" s="12"/>
      <c r="AB39" s="12"/>
      <c r="AC39" s="12" t="s">
        <v>332</v>
      </c>
    </row>
    <row r="40" spans="1:29" s="26" customFormat="1" ht="17.100000000000001" thickBot="1">
      <c r="A40" s="195"/>
      <c r="B40" s="214"/>
      <c r="C40" s="267"/>
      <c r="D40" s="24" t="s">
        <v>327</v>
      </c>
      <c r="E40" s="26" t="s">
        <v>328</v>
      </c>
      <c r="F40" s="26" t="s">
        <v>333</v>
      </c>
      <c r="G40" s="27"/>
      <c r="I40" s="27"/>
      <c r="J40" s="26" t="s">
        <v>277</v>
      </c>
      <c r="K40" s="55"/>
      <c r="L40" s="144"/>
      <c r="M40" s="144"/>
      <c r="N40" s="86">
        <v>125052295</v>
      </c>
      <c r="O40" s="86">
        <v>126052453</v>
      </c>
      <c r="P40" s="86">
        <v>126266094</v>
      </c>
      <c r="Q40" s="86">
        <v>126266417</v>
      </c>
      <c r="R40" s="29">
        <v>213642</v>
      </c>
      <c r="S40" s="27"/>
      <c r="T40" s="49"/>
      <c r="U40" s="27"/>
      <c r="V40" s="27"/>
      <c r="Y40" s="27"/>
      <c r="Z40" s="27" t="s">
        <v>331</v>
      </c>
      <c r="AA40" s="27"/>
      <c r="AB40" s="27"/>
      <c r="AC40" s="27"/>
    </row>
    <row r="41" spans="1:29" s="11" customFormat="1" ht="17.100000000000001">
      <c r="A41" s="245" t="s">
        <v>334</v>
      </c>
      <c r="B41" s="211" t="s">
        <v>29</v>
      </c>
      <c r="C41" s="242">
        <v>9</v>
      </c>
      <c r="D41" s="17" t="s">
        <v>264</v>
      </c>
      <c r="G41" s="12"/>
      <c r="H41" s="11" t="s">
        <v>202</v>
      </c>
      <c r="I41" s="11" t="s">
        <v>203</v>
      </c>
      <c r="J41" s="11" t="s">
        <v>204</v>
      </c>
      <c r="K41" s="4">
        <v>340785</v>
      </c>
      <c r="L41" s="62">
        <v>126667591</v>
      </c>
      <c r="M41" s="62">
        <v>127008376</v>
      </c>
      <c r="N41" s="76"/>
      <c r="O41" s="76"/>
      <c r="P41" s="76"/>
      <c r="Q41" s="76"/>
      <c r="S41" s="16" t="s">
        <v>149</v>
      </c>
      <c r="T41" s="11" t="s">
        <v>208</v>
      </c>
      <c r="U41" s="12" t="s">
        <v>291</v>
      </c>
      <c r="V41" s="12" t="s">
        <v>335</v>
      </c>
      <c r="X41" s="11">
        <v>1</v>
      </c>
      <c r="Y41" s="12"/>
      <c r="Z41" s="12"/>
      <c r="AA41" s="12"/>
      <c r="AB41" s="12"/>
      <c r="AC41" s="12"/>
    </row>
    <row r="42" spans="1:29" ht="33" thickBot="1">
      <c r="A42" s="246"/>
      <c r="B42" s="211"/>
      <c r="C42" s="242"/>
      <c r="D42" s="75" t="s">
        <v>336</v>
      </c>
      <c r="E42" s="71" t="s">
        <v>337</v>
      </c>
      <c r="F42" s="71" t="s">
        <v>338</v>
      </c>
      <c r="H42" s="71" t="s">
        <v>202</v>
      </c>
      <c r="I42" s="121" t="s">
        <v>203</v>
      </c>
      <c r="J42" s="121" t="s">
        <v>204</v>
      </c>
      <c r="K42" s="99">
        <v>340785</v>
      </c>
      <c r="L42" s="110">
        <v>126667591</v>
      </c>
      <c r="M42" s="110">
        <v>127008376</v>
      </c>
      <c r="N42" s="111">
        <v>126010487</v>
      </c>
      <c r="O42" s="111">
        <v>126011195</v>
      </c>
      <c r="P42" s="111">
        <v>126343963</v>
      </c>
      <c r="Q42" s="111">
        <v>126344148</v>
      </c>
      <c r="R42" s="122">
        <f>P42-O42+1</f>
        <v>332769</v>
      </c>
      <c r="S42" s="123" t="s">
        <v>339</v>
      </c>
      <c r="T42" s="75" t="s">
        <v>208</v>
      </c>
      <c r="U42" s="124" t="s">
        <v>291</v>
      </c>
      <c r="V42" s="124" t="s">
        <v>335</v>
      </c>
    </row>
    <row r="43" spans="1:29" s="21" customFormat="1" ht="17.100000000000001" thickBot="1">
      <c r="A43" s="188" t="s">
        <v>340</v>
      </c>
      <c r="B43" s="211" t="s">
        <v>31</v>
      </c>
      <c r="C43" s="71">
        <v>10</v>
      </c>
      <c r="D43" s="24" t="s">
        <v>341</v>
      </c>
      <c r="F43" s="21" t="s">
        <v>290</v>
      </c>
      <c r="G43" s="153" t="s">
        <v>342</v>
      </c>
      <c r="H43" s="21" t="s">
        <v>202</v>
      </c>
      <c r="I43" s="21" t="s">
        <v>203</v>
      </c>
      <c r="J43" s="21" t="s">
        <v>204</v>
      </c>
      <c r="K43" s="5">
        <v>203842</v>
      </c>
      <c r="L43" s="63">
        <v>126705616</v>
      </c>
      <c r="M43" s="63">
        <v>126909458</v>
      </c>
      <c r="N43" s="82">
        <v>126041322</v>
      </c>
      <c r="O43" s="82">
        <v>126041721</v>
      </c>
      <c r="P43" s="82">
        <v>126245225</v>
      </c>
      <c r="Q43" s="82">
        <v>126245510</v>
      </c>
      <c r="S43" s="22" t="s">
        <v>150</v>
      </c>
      <c r="T43" s="21" t="s">
        <v>208</v>
      </c>
      <c r="U43" s="22" t="s">
        <v>209</v>
      </c>
      <c r="V43" s="22" t="s">
        <v>210</v>
      </c>
      <c r="W43" s="21">
        <v>4</v>
      </c>
      <c r="X43" s="21" t="s">
        <v>343</v>
      </c>
      <c r="Y43" s="22" t="s">
        <v>226</v>
      </c>
      <c r="Z43" s="22"/>
      <c r="AA43" s="22"/>
      <c r="AB43" s="22"/>
      <c r="AC43" s="22" t="s">
        <v>259</v>
      </c>
    </row>
    <row r="44" spans="1:29" s="75" customFormat="1" ht="17.100000000000001">
      <c r="A44" s="258" t="s">
        <v>344</v>
      </c>
      <c r="B44" s="215" t="s">
        <v>34</v>
      </c>
      <c r="C44" s="264">
        <v>11</v>
      </c>
      <c r="D44" s="75" t="s">
        <v>345</v>
      </c>
      <c r="F44" s="75" t="s">
        <v>325</v>
      </c>
      <c r="G44" s="125" t="s">
        <v>346</v>
      </c>
      <c r="H44" s="121" t="s">
        <v>202</v>
      </c>
      <c r="I44" s="121" t="s">
        <v>203</v>
      </c>
      <c r="J44" s="75" t="s">
        <v>204</v>
      </c>
      <c r="K44" s="109">
        <v>228672</v>
      </c>
      <c r="L44" s="120">
        <v>126686881</v>
      </c>
      <c r="M44" s="120">
        <v>126915553</v>
      </c>
      <c r="N44" s="80">
        <v>126022552</v>
      </c>
      <c r="O44" s="80">
        <v>126022706</v>
      </c>
      <c r="P44" s="80">
        <v>126251511</v>
      </c>
      <c r="Q44" s="80">
        <v>126251665</v>
      </c>
      <c r="S44" s="126" t="s">
        <v>151</v>
      </c>
      <c r="T44" s="75" t="s">
        <v>208</v>
      </c>
      <c r="U44" s="112" t="s">
        <v>209</v>
      </c>
      <c r="V44" s="112" t="s">
        <v>210</v>
      </c>
      <c r="W44" s="75">
        <v>4</v>
      </c>
      <c r="X44" s="71" t="s">
        <v>225</v>
      </c>
      <c r="Y44" s="98" t="s">
        <v>226</v>
      </c>
      <c r="Z44" s="98"/>
      <c r="AA44" s="98"/>
      <c r="AB44" s="98"/>
      <c r="AC44" s="113" t="s">
        <v>268</v>
      </c>
    </row>
    <row r="45" spans="1:29" s="75" customFormat="1" ht="17.100000000000001">
      <c r="A45" s="259"/>
      <c r="B45" s="215"/>
      <c r="C45" s="264"/>
      <c r="D45" s="75" t="s">
        <v>345</v>
      </c>
      <c r="F45" s="75">
        <v>7154</v>
      </c>
      <c r="G45" s="125" t="s">
        <v>347</v>
      </c>
      <c r="H45" s="121" t="s">
        <v>202</v>
      </c>
      <c r="I45" s="121" t="s">
        <v>203</v>
      </c>
      <c r="J45" s="75" t="s">
        <v>204</v>
      </c>
      <c r="K45" s="109">
        <v>228672</v>
      </c>
      <c r="L45" s="120">
        <v>126686881</v>
      </c>
      <c r="M45" s="120">
        <v>126915553</v>
      </c>
      <c r="N45" s="80">
        <v>126022552</v>
      </c>
      <c r="O45" s="80">
        <v>126022706</v>
      </c>
      <c r="P45" s="80">
        <v>126251511</v>
      </c>
      <c r="Q45" s="80">
        <v>126251665</v>
      </c>
      <c r="S45" s="126" t="s">
        <v>151</v>
      </c>
      <c r="T45" s="75" t="s">
        <v>208</v>
      </c>
      <c r="U45" s="112" t="s">
        <v>209</v>
      </c>
      <c r="V45" s="112" t="s">
        <v>210</v>
      </c>
      <c r="W45" s="75">
        <v>4</v>
      </c>
      <c r="X45" s="71" t="s">
        <v>225</v>
      </c>
      <c r="Y45" s="98" t="s">
        <v>226</v>
      </c>
      <c r="Z45" s="98"/>
      <c r="AA45" s="98"/>
      <c r="AB45" s="98"/>
      <c r="AC45" s="123"/>
    </row>
    <row r="46" spans="1:29" s="75" customFormat="1" ht="15.95">
      <c r="A46" s="260"/>
      <c r="B46" s="215"/>
      <c r="D46" s="75" t="s">
        <v>345</v>
      </c>
      <c r="F46" s="75">
        <v>13416</v>
      </c>
      <c r="G46" s="125" t="s">
        <v>348</v>
      </c>
      <c r="H46" s="75" t="s">
        <v>216</v>
      </c>
      <c r="I46" s="121" t="s">
        <v>203</v>
      </c>
      <c r="J46" s="75" t="s">
        <v>217</v>
      </c>
      <c r="K46" s="109" t="s">
        <v>207</v>
      </c>
      <c r="L46" s="110" t="s">
        <v>207</v>
      </c>
      <c r="M46" s="110" t="s">
        <v>207</v>
      </c>
      <c r="N46" s="111" t="s">
        <v>207</v>
      </c>
      <c r="O46" s="111" t="s">
        <v>207</v>
      </c>
      <c r="P46" s="111" t="s">
        <v>207</v>
      </c>
      <c r="Q46" s="111" t="s">
        <v>207</v>
      </c>
      <c r="R46" s="75" t="s">
        <v>207</v>
      </c>
      <c r="S46" s="123" t="s">
        <v>207</v>
      </c>
      <c r="T46" s="75" t="s">
        <v>219</v>
      </c>
      <c r="U46" s="112" t="s">
        <v>209</v>
      </c>
      <c r="V46" s="112" t="s">
        <v>210</v>
      </c>
      <c r="W46" s="75">
        <v>4</v>
      </c>
      <c r="X46" s="71" t="s">
        <v>225</v>
      </c>
      <c r="Y46" s="98" t="s">
        <v>226</v>
      </c>
      <c r="Z46" s="123" t="s">
        <v>259</v>
      </c>
    </row>
    <row r="47" spans="1:29" ht="15.95">
      <c r="A47" s="245" t="s">
        <v>349</v>
      </c>
      <c r="B47" s="211" t="s">
        <v>36</v>
      </c>
      <c r="C47" s="242">
        <v>12</v>
      </c>
      <c r="D47" s="75" t="s">
        <v>37</v>
      </c>
      <c r="F47" s="71" t="s">
        <v>350</v>
      </c>
      <c r="G47" s="98" t="s">
        <v>351</v>
      </c>
      <c r="H47" s="71" t="s">
        <v>202</v>
      </c>
      <c r="I47" s="71" t="s">
        <v>203</v>
      </c>
      <c r="J47" s="71" t="s">
        <v>204</v>
      </c>
      <c r="K47" s="99">
        <v>229243</v>
      </c>
      <c r="L47" s="100">
        <v>126766751</v>
      </c>
      <c r="M47" s="100">
        <v>126995994</v>
      </c>
      <c r="N47" s="173">
        <v>126102080</v>
      </c>
      <c r="O47" s="173">
        <v>126103994</v>
      </c>
      <c r="P47" s="173">
        <v>126331590</v>
      </c>
      <c r="Q47" s="173">
        <v>126331707</v>
      </c>
      <c r="S47" s="98" t="s">
        <v>152</v>
      </c>
      <c r="T47" s="71" t="s">
        <v>208</v>
      </c>
      <c r="U47" s="98" t="s">
        <v>291</v>
      </c>
      <c r="V47" s="98" t="s">
        <v>352</v>
      </c>
      <c r="X47" s="71">
        <v>2</v>
      </c>
      <c r="AC47" s="113" t="s">
        <v>353</v>
      </c>
    </row>
    <row r="48" spans="1:29" s="174" customFormat="1">
      <c r="A48" s="255"/>
      <c r="B48" s="211"/>
      <c r="C48" s="242"/>
      <c r="D48" s="174" t="s">
        <v>354</v>
      </c>
    </row>
    <row r="49" spans="1:29" s="72" customFormat="1">
      <c r="A49" s="255"/>
      <c r="B49" s="211"/>
      <c r="C49" s="242"/>
      <c r="D49" s="72" t="s">
        <v>355</v>
      </c>
      <c r="E49" s="72" t="s">
        <v>356</v>
      </c>
      <c r="F49" s="72" t="s">
        <v>357</v>
      </c>
      <c r="I49" s="94"/>
      <c r="K49" s="138"/>
      <c r="L49" s="130"/>
      <c r="M49" s="130"/>
      <c r="N49" s="129"/>
      <c r="O49" s="129"/>
      <c r="P49" s="129"/>
      <c r="Q49" s="129"/>
      <c r="S49" s="94"/>
      <c r="T49" s="96" t="s">
        <v>258</v>
      </c>
      <c r="U49" s="94"/>
      <c r="V49" s="94"/>
      <c r="Y49" s="94"/>
      <c r="Z49" s="94"/>
      <c r="AA49" s="94"/>
      <c r="AB49" s="94"/>
      <c r="AC49" s="94" t="s">
        <v>268</v>
      </c>
    </row>
    <row r="50" spans="1:29" s="72" customFormat="1">
      <c r="A50" s="255"/>
      <c r="B50" s="211"/>
      <c r="C50" s="242"/>
      <c r="D50" s="72" t="s">
        <v>358</v>
      </c>
      <c r="E50" s="72" t="s">
        <v>359</v>
      </c>
      <c r="F50" s="72" t="s">
        <v>357</v>
      </c>
      <c r="I50" s="94"/>
      <c r="K50" s="138"/>
      <c r="L50" s="130"/>
      <c r="M50" s="130"/>
      <c r="N50" s="129"/>
      <c r="O50" s="129"/>
      <c r="P50" s="129"/>
      <c r="Q50" s="129"/>
      <c r="S50" s="94"/>
      <c r="T50" s="96" t="s">
        <v>258</v>
      </c>
      <c r="U50" s="94"/>
      <c r="V50" s="94"/>
      <c r="Y50" s="94"/>
      <c r="Z50" s="94"/>
      <c r="AA50" s="94"/>
      <c r="AB50" s="94"/>
      <c r="AC50" s="94" t="s">
        <v>259</v>
      </c>
    </row>
    <row r="51" spans="1:29" s="72" customFormat="1">
      <c r="A51" s="255"/>
      <c r="B51" s="211"/>
      <c r="C51" s="242"/>
      <c r="D51" s="72" t="s">
        <v>360</v>
      </c>
      <c r="E51" s="72" t="s">
        <v>361</v>
      </c>
      <c r="F51" s="72" t="s">
        <v>357</v>
      </c>
      <c r="I51" s="94"/>
      <c r="K51" s="138"/>
      <c r="L51" s="130"/>
      <c r="M51" s="130"/>
      <c r="N51" s="129"/>
      <c r="O51" s="129"/>
      <c r="P51" s="129"/>
      <c r="Q51" s="129"/>
      <c r="S51" s="94"/>
      <c r="T51" s="96" t="s">
        <v>258</v>
      </c>
      <c r="U51" s="94"/>
      <c r="V51" s="94"/>
      <c r="Y51" s="94"/>
      <c r="Z51" s="94"/>
      <c r="AA51" s="94"/>
      <c r="AB51" s="94"/>
      <c r="AC51" s="94" t="s">
        <v>268</v>
      </c>
    </row>
    <row r="52" spans="1:29" s="30" customFormat="1" ht="17.100000000000001" thickBot="1">
      <c r="A52" s="255"/>
      <c r="B52" s="211"/>
      <c r="C52" s="242"/>
      <c r="D52" s="165" t="s">
        <v>362</v>
      </c>
      <c r="E52" s="178" t="s">
        <v>363</v>
      </c>
      <c r="F52" s="30" t="s">
        <v>364</v>
      </c>
      <c r="G52" s="94" t="s">
        <v>357</v>
      </c>
      <c r="I52" s="32"/>
      <c r="K52" s="58"/>
      <c r="L52" s="69"/>
      <c r="M52" s="69"/>
      <c r="N52" s="81"/>
      <c r="O52" s="81"/>
      <c r="P52" s="81"/>
      <c r="Q52" s="81"/>
      <c r="S52" s="32"/>
      <c r="T52" s="96" t="s">
        <v>258</v>
      </c>
      <c r="U52" s="32"/>
      <c r="V52" s="32"/>
      <c r="Y52" s="32"/>
      <c r="Z52" s="32"/>
      <c r="AA52" s="32"/>
      <c r="AB52" s="32"/>
      <c r="AC52" s="32" t="s">
        <v>268</v>
      </c>
    </row>
    <row r="53" spans="1:29" s="34" customFormat="1" ht="17.100000000000001" thickBot="1">
      <c r="A53" s="188" t="s">
        <v>365</v>
      </c>
      <c r="B53" s="211" t="s">
        <v>38</v>
      </c>
      <c r="C53" s="71">
        <v>13</v>
      </c>
      <c r="D53" s="35" t="s">
        <v>366</v>
      </c>
      <c r="F53" s="35" t="s">
        <v>367</v>
      </c>
      <c r="G53" s="36" t="s">
        <v>368</v>
      </c>
      <c r="I53" s="36"/>
      <c r="J53" s="34" t="s">
        <v>204</v>
      </c>
      <c r="K53" s="53">
        <v>277929</v>
      </c>
      <c r="L53" s="64">
        <v>126687731</v>
      </c>
      <c r="M53" s="64">
        <v>126965660</v>
      </c>
      <c r="N53" s="83">
        <v>126024924</v>
      </c>
      <c r="O53" s="83">
        <v>126025235</v>
      </c>
      <c r="P53" s="83">
        <v>126301321</v>
      </c>
      <c r="Q53" s="83">
        <v>126301807</v>
      </c>
      <c r="R53" s="38">
        <v>276087</v>
      </c>
      <c r="S53" s="36"/>
      <c r="T53" s="49"/>
      <c r="U53" s="36"/>
      <c r="V53" s="36"/>
      <c r="Y53" s="36"/>
      <c r="Z53" s="36"/>
      <c r="AA53" s="36"/>
      <c r="AB53" s="36"/>
      <c r="AC53" s="36"/>
    </row>
    <row r="54" spans="1:29" s="177" customFormat="1" ht="15.95">
      <c r="A54" s="245" t="s">
        <v>369</v>
      </c>
      <c r="B54" s="211" t="s">
        <v>39</v>
      </c>
      <c r="C54" s="242">
        <v>14</v>
      </c>
      <c r="D54" s="180" t="s">
        <v>370</v>
      </c>
      <c r="F54" s="177" t="s">
        <v>371</v>
      </c>
      <c r="G54" s="182" t="s">
        <v>372</v>
      </c>
      <c r="I54" s="182"/>
      <c r="J54" s="177" t="s">
        <v>204</v>
      </c>
      <c r="K54" s="183">
        <v>118354</v>
      </c>
      <c r="L54" s="184">
        <v>126775269</v>
      </c>
      <c r="M54" s="184">
        <v>126893623</v>
      </c>
      <c r="N54" s="185">
        <v>126110185</v>
      </c>
      <c r="O54" s="185">
        <v>126111050</v>
      </c>
      <c r="P54" s="185">
        <v>126232112</v>
      </c>
      <c r="Q54" s="185">
        <v>126232239</v>
      </c>
      <c r="R54" s="186">
        <v>121063</v>
      </c>
      <c r="S54" s="182" t="s">
        <v>373</v>
      </c>
      <c r="T54" s="177" t="s">
        <v>208</v>
      </c>
      <c r="U54" s="182"/>
      <c r="V54" s="182"/>
      <c r="Y54" s="182"/>
      <c r="Z54" s="182"/>
      <c r="AA54" s="182"/>
      <c r="AB54" s="182"/>
      <c r="AC54" s="182"/>
    </row>
    <row r="55" spans="1:29" s="13" customFormat="1" ht="17.100000000000001" thickBot="1">
      <c r="A55" s="246"/>
      <c r="B55" s="211"/>
      <c r="C55" s="242"/>
      <c r="D55" s="47" t="s">
        <v>374</v>
      </c>
      <c r="F55" s="13" t="s">
        <v>375</v>
      </c>
      <c r="G55" s="14" t="s">
        <v>376</v>
      </c>
      <c r="I55" s="14"/>
      <c r="J55" s="13" t="s">
        <v>204</v>
      </c>
      <c r="K55" s="25">
        <v>118354</v>
      </c>
      <c r="L55" s="61">
        <v>126775269</v>
      </c>
      <c r="M55" s="61">
        <v>126893623</v>
      </c>
      <c r="N55" s="77">
        <v>126108172</v>
      </c>
      <c r="O55" s="77">
        <v>126109291</v>
      </c>
      <c r="P55" s="77">
        <v>126232682</v>
      </c>
      <c r="Q55" s="77">
        <v>126233156</v>
      </c>
      <c r="R55" s="9">
        <v>123392</v>
      </c>
      <c r="S55" s="14" t="s">
        <v>373</v>
      </c>
      <c r="T55" s="13" t="s">
        <v>208</v>
      </c>
      <c r="U55" s="14"/>
      <c r="V55" s="14"/>
      <c r="Y55" s="14"/>
      <c r="Z55" s="14"/>
      <c r="AA55" s="14"/>
      <c r="AB55" s="14"/>
      <c r="AC55" s="14"/>
    </row>
    <row r="56" spans="1:29" s="21" customFormat="1" ht="17.100000000000001" thickBot="1">
      <c r="A56" s="256" t="s">
        <v>377</v>
      </c>
      <c r="B56" s="211" t="s">
        <v>40</v>
      </c>
      <c r="C56" s="242">
        <v>15</v>
      </c>
      <c r="D56" s="24" t="s">
        <v>378</v>
      </c>
      <c r="E56" s="21" t="s">
        <v>379</v>
      </c>
      <c r="F56" s="21" t="s">
        <v>329</v>
      </c>
      <c r="G56" s="22"/>
      <c r="H56" s="21" t="s">
        <v>202</v>
      </c>
      <c r="I56" s="22" t="s">
        <v>380</v>
      </c>
      <c r="J56" s="21" t="s">
        <v>204</v>
      </c>
      <c r="K56" s="5">
        <v>210309</v>
      </c>
      <c r="L56" s="63">
        <v>126716533</v>
      </c>
      <c r="M56" s="63">
        <v>126926882</v>
      </c>
      <c r="N56" s="79">
        <v>126052295</v>
      </c>
      <c r="O56" s="79">
        <v>126052453</v>
      </c>
      <c r="P56" s="79">
        <v>126262557</v>
      </c>
      <c r="Q56" s="79">
        <v>126262762</v>
      </c>
      <c r="R56" s="6">
        <v>210105</v>
      </c>
      <c r="S56" s="22" t="s">
        <v>381</v>
      </c>
      <c r="T56" s="21" t="s">
        <v>208</v>
      </c>
      <c r="U56" s="22"/>
      <c r="V56" s="22"/>
      <c r="Y56" s="22"/>
      <c r="Z56" s="22" t="s">
        <v>382</v>
      </c>
      <c r="AA56" s="22">
        <v>182</v>
      </c>
      <c r="AB56" s="22">
        <v>1.83</v>
      </c>
      <c r="AC56" s="22"/>
    </row>
    <row r="57" spans="1:29" s="39" customFormat="1" ht="15.95" thickBot="1">
      <c r="A57" s="257"/>
      <c r="B57" s="211"/>
      <c r="C57" s="242"/>
      <c r="D57" s="160"/>
      <c r="E57" s="39" t="s">
        <v>383</v>
      </c>
      <c r="F57" s="39" t="s">
        <v>384</v>
      </c>
      <c r="G57" s="43" t="s">
        <v>385</v>
      </c>
      <c r="I57" s="39" t="s">
        <v>386</v>
      </c>
      <c r="J57" s="39" t="s">
        <v>277</v>
      </c>
      <c r="K57" s="59">
        <v>209417</v>
      </c>
      <c r="L57" s="65">
        <v>126717465</v>
      </c>
      <c r="M57" s="65">
        <v>126926881</v>
      </c>
      <c r="N57" s="84">
        <v>126051700</v>
      </c>
      <c r="O57" s="84">
        <v>126052236</v>
      </c>
      <c r="P57" s="84">
        <v>126262305</v>
      </c>
      <c r="Q57" s="84">
        <v>126262502</v>
      </c>
      <c r="R57" s="39">
        <v>210070</v>
      </c>
      <c r="S57" s="40"/>
      <c r="T57" s="39" t="s">
        <v>208</v>
      </c>
      <c r="U57" s="40"/>
      <c r="V57" s="40"/>
      <c r="Y57" s="40"/>
      <c r="Z57" s="40" t="s">
        <v>252</v>
      </c>
      <c r="AA57" s="40">
        <v>374.6</v>
      </c>
      <c r="AB57" s="40">
        <v>1.85</v>
      </c>
      <c r="AC57" s="40" t="s">
        <v>387</v>
      </c>
    </row>
    <row r="58" spans="1:29" s="73" customFormat="1">
      <c r="A58" s="257"/>
      <c r="B58" s="211"/>
      <c r="C58" s="242"/>
      <c r="D58" s="158"/>
      <c r="E58" s="73" t="s">
        <v>388</v>
      </c>
      <c r="F58" s="73" t="s">
        <v>389</v>
      </c>
      <c r="G58" s="118" t="s">
        <v>390</v>
      </c>
      <c r="I58" s="73" t="s">
        <v>386</v>
      </c>
      <c r="J58" s="73" t="s">
        <v>277</v>
      </c>
      <c r="K58" s="136">
        <v>167993</v>
      </c>
      <c r="L58" s="132">
        <v>126721931</v>
      </c>
      <c r="M58" s="132">
        <v>126889923</v>
      </c>
      <c r="N58" s="133">
        <v>126057697</v>
      </c>
      <c r="O58" s="133">
        <v>126058091</v>
      </c>
      <c r="P58" s="133">
        <v>126224062</v>
      </c>
      <c r="Q58" s="133">
        <v>126224138</v>
      </c>
      <c r="R58" s="73">
        <v>165972</v>
      </c>
      <c r="S58" s="107"/>
      <c r="T58" s="95"/>
      <c r="U58" s="107"/>
      <c r="V58" s="107"/>
      <c r="Y58" s="107"/>
      <c r="Z58" s="107" t="s">
        <v>252</v>
      </c>
      <c r="AA58" s="107">
        <v>655.29999999999995</v>
      </c>
      <c r="AB58" s="107">
        <v>1.71</v>
      </c>
      <c r="AC58" s="107" t="s">
        <v>391</v>
      </c>
    </row>
    <row r="59" spans="1:29" ht="15.95">
      <c r="A59" s="255" t="s">
        <v>392</v>
      </c>
      <c r="B59" s="211" t="s">
        <v>41</v>
      </c>
      <c r="C59" s="242">
        <v>16</v>
      </c>
      <c r="D59" s="75" t="s">
        <v>393</v>
      </c>
      <c r="F59" s="71" t="s">
        <v>394</v>
      </c>
      <c r="J59" s="71" t="s">
        <v>204</v>
      </c>
      <c r="K59" s="99">
        <v>121996</v>
      </c>
      <c r="L59" s="100">
        <v>126743135</v>
      </c>
      <c r="M59" s="100">
        <v>126865131</v>
      </c>
      <c r="N59" s="101">
        <v>126080809</v>
      </c>
      <c r="O59" s="101">
        <v>126081097</v>
      </c>
      <c r="P59" s="101">
        <v>126201104</v>
      </c>
      <c r="Q59" s="101">
        <v>126201268</v>
      </c>
      <c r="R59" s="102">
        <v>120008</v>
      </c>
      <c r="T59" s="95"/>
    </row>
    <row r="60" spans="1:29" s="177" customFormat="1" ht="15.95">
      <c r="A60" s="255"/>
      <c r="B60" s="211"/>
      <c r="C60" s="242"/>
      <c r="D60" s="180" t="s">
        <v>370</v>
      </c>
      <c r="F60" s="177" t="s">
        <v>395</v>
      </c>
      <c r="G60" s="181" t="s">
        <v>396</v>
      </c>
      <c r="I60" s="182"/>
      <c r="J60" s="177" t="s">
        <v>204</v>
      </c>
      <c r="K60" s="183">
        <v>121997</v>
      </c>
      <c r="L60" s="184">
        <v>126743135</v>
      </c>
      <c r="M60" s="184">
        <v>126865131</v>
      </c>
      <c r="N60" s="185">
        <v>126086687</v>
      </c>
      <c r="O60" s="185">
        <v>126087414</v>
      </c>
      <c r="P60" s="185">
        <v>126200123</v>
      </c>
      <c r="Q60" s="185">
        <v>126200913</v>
      </c>
      <c r="R60" s="186">
        <v>112710</v>
      </c>
      <c r="S60" s="182"/>
      <c r="U60" s="182"/>
      <c r="V60" s="182"/>
      <c r="Y60" s="182"/>
      <c r="Z60" s="182"/>
      <c r="AA60" s="182"/>
      <c r="AB60" s="182"/>
      <c r="AC60" s="182"/>
    </row>
    <row r="61" spans="1:29">
      <c r="A61" s="255"/>
      <c r="B61" s="211"/>
      <c r="C61" s="242"/>
      <c r="D61" s="71"/>
      <c r="E61" s="71" t="s">
        <v>397</v>
      </c>
      <c r="F61" s="71" t="s">
        <v>398</v>
      </c>
      <c r="G61" s="98" t="s">
        <v>207</v>
      </c>
      <c r="H61" s="71" t="s">
        <v>399</v>
      </c>
      <c r="I61" s="98" t="s">
        <v>207</v>
      </c>
      <c r="J61" s="71" t="s">
        <v>217</v>
      </c>
      <c r="K61" s="99" t="s">
        <v>207</v>
      </c>
      <c r="L61" s="100" t="s">
        <v>207</v>
      </c>
      <c r="M61" s="100" t="s">
        <v>207</v>
      </c>
      <c r="N61" s="101" t="s">
        <v>207</v>
      </c>
      <c r="O61" s="101" t="s">
        <v>207</v>
      </c>
      <c r="P61" s="101" t="s">
        <v>207</v>
      </c>
      <c r="Q61" s="101" t="s">
        <v>207</v>
      </c>
      <c r="R61" s="71" t="s">
        <v>207</v>
      </c>
      <c r="S61" s="98" t="s">
        <v>207</v>
      </c>
      <c r="T61" s="71" t="s">
        <v>219</v>
      </c>
      <c r="Z61" s="98" t="s">
        <v>400</v>
      </c>
      <c r="AA61" s="71"/>
      <c r="AB61" s="71"/>
      <c r="AC61" s="71"/>
    </row>
    <row r="62" spans="1:29" s="13" customFormat="1" ht="17.100000000000001" thickBot="1">
      <c r="A62" s="255"/>
      <c r="B62" s="211"/>
      <c r="C62" s="242"/>
      <c r="D62" s="47" t="s">
        <v>401</v>
      </c>
      <c r="E62" s="13" t="s">
        <v>402</v>
      </c>
      <c r="G62" s="14"/>
      <c r="H62" s="13" t="s">
        <v>202</v>
      </c>
      <c r="I62" s="14"/>
      <c r="J62" s="13" t="s">
        <v>204</v>
      </c>
      <c r="K62" s="25">
        <v>121997</v>
      </c>
      <c r="L62" s="61">
        <v>126743135</v>
      </c>
      <c r="M62" s="61">
        <v>126865131</v>
      </c>
      <c r="O62" s="77"/>
      <c r="P62" s="77"/>
      <c r="Q62" s="77"/>
      <c r="R62" s="190">
        <f>M62-L62</f>
        <v>121996</v>
      </c>
      <c r="S62" s="14"/>
      <c r="T62" s="13" t="s">
        <v>208</v>
      </c>
      <c r="U62" s="14"/>
      <c r="V62" s="14"/>
      <c r="Y62" s="14"/>
      <c r="Z62" s="14"/>
      <c r="AA62" s="14">
        <v>508.3</v>
      </c>
      <c r="AB62" s="14">
        <v>1.87</v>
      </c>
      <c r="AC62" s="14" t="s">
        <v>403</v>
      </c>
    </row>
    <row r="63" spans="1:29" s="11" customFormat="1" ht="17.100000000000001" thickBot="1">
      <c r="A63" s="255"/>
      <c r="B63" s="211"/>
      <c r="C63" s="242"/>
      <c r="D63" s="17" t="s">
        <v>393</v>
      </c>
      <c r="E63" s="11" t="s">
        <v>404</v>
      </c>
      <c r="F63" s="11" t="s">
        <v>405</v>
      </c>
      <c r="G63" s="12" t="s">
        <v>406</v>
      </c>
      <c r="H63" s="11" t="s">
        <v>202</v>
      </c>
      <c r="I63" s="12"/>
      <c r="J63" s="11" t="s">
        <v>204</v>
      </c>
      <c r="K63" s="4">
        <v>121996</v>
      </c>
      <c r="L63" s="60">
        <v>126743135</v>
      </c>
      <c r="M63" s="60">
        <v>126865131</v>
      </c>
      <c r="N63" s="76">
        <v>126080809</v>
      </c>
      <c r="O63" s="76">
        <v>126081097</v>
      </c>
      <c r="P63" s="76">
        <v>126201104</v>
      </c>
      <c r="Q63" s="76">
        <v>126201268</v>
      </c>
      <c r="R63" s="1">
        <v>120008</v>
      </c>
      <c r="S63" s="145"/>
      <c r="T63" s="11" t="s">
        <v>208</v>
      </c>
      <c r="U63" s="12"/>
      <c r="V63" s="12"/>
      <c r="Y63" s="12"/>
      <c r="Z63" s="12"/>
      <c r="AA63" s="12"/>
      <c r="AB63" s="12"/>
      <c r="AC63" s="12"/>
    </row>
    <row r="64" spans="1:29" s="11" customFormat="1" ht="17.100000000000001" thickBot="1">
      <c r="A64" s="249" t="s">
        <v>407</v>
      </c>
      <c r="B64" s="204" t="s">
        <v>42</v>
      </c>
      <c r="C64" s="242">
        <v>17</v>
      </c>
      <c r="D64" s="17" t="s">
        <v>408</v>
      </c>
      <c r="F64" s="11" t="s">
        <v>409</v>
      </c>
      <c r="G64" s="12"/>
      <c r="H64" s="11" t="s">
        <v>410</v>
      </c>
      <c r="I64" s="12"/>
      <c r="J64" s="11" t="s">
        <v>204</v>
      </c>
      <c r="K64" s="4">
        <v>1031351</v>
      </c>
      <c r="L64" s="60">
        <v>125918128</v>
      </c>
      <c r="M64" s="60">
        <v>126949480</v>
      </c>
      <c r="N64" s="76">
        <v>125250799</v>
      </c>
      <c r="O64" s="76">
        <v>125251300</v>
      </c>
      <c r="P64" s="76">
        <v>126284052</v>
      </c>
      <c r="Q64" s="76">
        <v>126284171</v>
      </c>
      <c r="R64" s="1">
        <v>1032753</v>
      </c>
      <c r="S64" s="12" t="s">
        <v>411</v>
      </c>
      <c r="T64" s="11" t="s">
        <v>412</v>
      </c>
      <c r="U64" s="12"/>
      <c r="V64" s="12"/>
      <c r="Y64" s="12"/>
      <c r="Z64" s="12"/>
      <c r="AA64" s="12"/>
      <c r="AB64" s="12"/>
      <c r="AC64" s="12"/>
    </row>
    <row r="65" spans="1:29" ht="15.95">
      <c r="A65" s="250"/>
      <c r="B65" s="204"/>
      <c r="C65" s="242"/>
      <c r="D65" s="75" t="s">
        <v>408</v>
      </c>
      <c r="E65" s="11"/>
      <c r="F65" s="71" t="s">
        <v>413</v>
      </c>
      <c r="G65" s="113" t="s">
        <v>414</v>
      </c>
      <c r="H65" s="71" t="s">
        <v>410</v>
      </c>
      <c r="J65" s="71" t="s">
        <v>204</v>
      </c>
      <c r="K65" s="135">
        <v>1031351</v>
      </c>
      <c r="L65" s="100">
        <v>125918128</v>
      </c>
      <c r="M65" s="100">
        <v>126949480</v>
      </c>
      <c r="T65" s="71" t="s">
        <v>412</v>
      </c>
    </row>
    <row r="66" spans="1:29" ht="15.95">
      <c r="A66" s="250"/>
      <c r="B66" s="204"/>
      <c r="C66" s="242"/>
      <c r="D66" s="75" t="s">
        <v>415</v>
      </c>
      <c r="F66" s="71" t="s">
        <v>416</v>
      </c>
      <c r="H66" s="71" t="s">
        <v>410</v>
      </c>
      <c r="J66" s="71" t="s">
        <v>204</v>
      </c>
      <c r="K66" s="99">
        <v>1031351</v>
      </c>
      <c r="L66" s="100">
        <v>125918128</v>
      </c>
      <c r="M66" s="100">
        <v>126949480</v>
      </c>
      <c r="N66" s="101">
        <v>125251489</v>
      </c>
      <c r="O66" s="101">
        <v>125251585</v>
      </c>
      <c r="P66" s="101">
        <v>126285406</v>
      </c>
      <c r="Q66" s="101">
        <v>126285510</v>
      </c>
      <c r="R66" s="102">
        <v>1033822</v>
      </c>
      <c r="S66" s="98" t="s">
        <v>417</v>
      </c>
      <c r="T66" s="71" t="s">
        <v>412</v>
      </c>
    </row>
    <row r="67" spans="1:29" s="73" customFormat="1" ht="15.95">
      <c r="A67" s="251"/>
      <c r="B67" s="204"/>
      <c r="C67" s="242"/>
      <c r="D67" s="158" t="s">
        <v>418</v>
      </c>
      <c r="F67" s="73" t="s">
        <v>416</v>
      </c>
      <c r="G67" s="107"/>
      <c r="H67" s="73" t="s">
        <v>410</v>
      </c>
      <c r="I67" s="107"/>
      <c r="J67" s="73" t="s">
        <v>277</v>
      </c>
      <c r="K67" s="131"/>
      <c r="L67" s="132"/>
      <c r="M67" s="132"/>
      <c r="N67" s="133">
        <v>125253476</v>
      </c>
      <c r="O67" s="133">
        <v>125260926</v>
      </c>
      <c r="P67" s="133">
        <v>126287056</v>
      </c>
      <c r="Q67" s="133">
        <v>126287107</v>
      </c>
      <c r="R67" s="134">
        <v>1026131</v>
      </c>
      <c r="S67" s="107"/>
      <c r="T67" s="73" t="s">
        <v>412</v>
      </c>
      <c r="U67" s="107"/>
      <c r="V67" s="107"/>
      <c r="Y67" s="107"/>
      <c r="Z67" s="107"/>
      <c r="AA67" s="107"/>
      <c r="AB67" s="107"/>
      <c r="AC67" s="107"/>
    </row>
    <row r="68" spans="1:29" ht="17.100000000000001" thickBot="1">
      <c r="A68" s="224" t="s">
        <v>419</v>
      </c>
      <c r="B68" s="204"/>
      <c r="C68" s="71">
        <v>30</v>
      </c>
      <c r="D68" s="75" t="s">
        <v>420</v>
      </c>
      <c r="H68" s="71" t="s">
        <v>421</v>
      </c>
      <c r="I68" s="71" t="s">
        <v>380</v>
      </c>
      <c r="J68" s="71" t="s">
        <v>204</v>
      </c>
      <c r="K68" s="99" t="s">
        <v>422</v>
      </c>
      <c r="L68" s="100">
        <v>125918128</v>
      </c>
      <c r="M68" s="100">
        <v>126949480</v>
      </c>
      <c r="S68" s="98" t="s">
        <v>417</v>
      </c>
      <c r="T68" s="71" t="s">
        <v>423</v>
      </c>
      <c r="U68" s="98" t="s">
        <v>424</v>
      </c>
      <c r="V68" s="98" t="s">
        <v>425</v>
      </c>
      <c r="W68" s="71">
        <v>3</v>
      </c>
      <c r="X68" s="71">
        <v>3</v>
      </c>
      <c r="Y68" s="98" t="s">
        <v>426</v>
      </c>
    </row>
    <row r="69" spans="1:29" s="26" customFormat="1" ht="17.100000000000001" thickBot="1">
      <c r="A69" s="194" t="s">
        <v>427</v>
      </c>
      <c r="B69" s="211" t="s">
        <v>27</v>
      </c>
      <c r="C69" s="90">
        <v>18</v>
      </c>
      <c r="D69" s="24" t="s">
        <v>327</v>
      </c>
      <c r="E69" s="26" t="s">
        <v>428</v>
      </c>
      <c r="F69" s="26" t="s">
        <v>372</v>
      </c>
      <c r="G69" s="27"/>
      <c r="I69" s="27"/>
      <c r="J69" s="26" t="s">
        <v>277</v>
      </c>
      <c r="K69" s="139">
        <v>169457</v>
      </c>
      <c r="L69" s="144">
        <v>126761184</v>
      </c>
      <c r="M69" s="144">
        <v>126930402</v>
      </c>
      <c r="N69" s="86">
        <v>126266094</v>
      </c>
      <c r="O69" s="86">
        <v>126266417</v>
      </c>
      <c r="P69" s="86">
        <v>169003</v>
      </c>
      <c r="Q69" s="86">
        <v>126096876</v>
      </c>
      <c r="R69" s="29">
        <v>126266332</v>
      </c>
      <c r="S69" s="27"/>
      <c r="T69" s="26" t="s">
        <v>208</v>
      </c>
      <c r="U69" s="27"/>
      <c r="V69" s="27"/>
      <c r="Y69" s="27"/>
      <c r="Z69" s="27" t="s">
        <v>429</v>
      </c>
      <c r="AA69" s="27"/>
      <c r="AB69" s="27"/>
      <c r="AC69" s="27"/>
    </row>
    <row r="70" spans="1:29" s="11" customFormat="1" ht="15.95">
      <c r="A70" s="252" t="s">
        <v>430</v>
      </c>
      <c r="B70" s="216" t="s">
        <v>43</v>
      </c>
      <c r="C70" s="242">
        <v>19</v>
      </c>
      <c r="D70" s="17" t="s">
        <v>431</v>
      </c>
      <c r="E70" s="11" t="s">
        <v>432</v>
      </c>
      <c r="F70" s="11" t="s">
        <v>433</v>
      </c>
      <c r="G70" s="12" t="s">
        <v>434</v>
      </c>
      <c r="H70" s="11" t="s">
        <v>435</v>
      </c>
      <c r="I70" s="12"/>
      <c r="J70" s="11" t="s">
        <v>204</v>
      </c>
      <c r="K70" s="4">
        <v>672514</v>
      </c>
      <c r="L70" s="60">
        <v>126016772</v>
      </c>
      <c r="M70" s="60">
        <v>126689287</v>
      </c>
      <c r="N70" s="76">
        <v>125352628</v>
      </c>
      <c r="O70" s="76">
        <v>125352862</v>
      </c>
      <c r="P70" s="76">
        <v>126024924</v>
      </c>
      <c r="Q70" s="76">
        <v>126025235</v>
      </c>
      <c r="R70" s="1">
        <v>672063</v>
      </c>
      <c r="S70" s="12" t="s">
        <v>436</v>
      </c>
      <c r="T70" s="51"/>
      <c r="U70" s="12"/>
      <c r="V70" s="12"/>
      <c r="Y70" s="12"/>
      <c r="Z70" s="12" t="s">
        <v>252</v>
      </c>
      <c r="AA70" s="12">
        <v>16</v>
      </c>
      <c r="AB70" s="12">
        <v>1.75</v>
      </c>
      <c r="AC70" s="12" t="s">
        <v>437</v>
      </c>
    </row>
    <row r="71" spans="1:29" ht="15.95">
      <c r="A71" s="253"/>
      <c r="B71" s="216"/>
      <c r="C71" s="242"/>
      <c r="D71" s="75" t="s">
        <v>431</v>
      </c>
      <c r="E71" s="71" t="s">
        <v>438</v>
      </c>
      <c r="G71" s="98" t="s">
        <v>434</v>
      </c>
      <c r="H71" s="71" t="s">
        <v>435</v>
      </c>
      <c r="J71" s="71" t="s">
        <v>204</v>
      </c>
      <c r="K71" s="99">
        <v>672515</v>
      </c>
      <c r="L71" s="100">
        <v>126016772</v>
      </c>
      <c r="M71" s="100">
        <v>126689287</v>
      </c>
      <c r="T71" s="95"/>
      <c r="Z71" s="98" t="s">
        <v>252</v>
      </c>
      <c r="AA71" s="98">
        <v>102</v>
      </c>
      <c r="AB71" s="98">
        <v>1.75</v>
      </c>
      <c r="AC71" s="98" t="s">
        <v>439</v>
      </c>
    </row>
    <row r="72" spans="1:29" ht="15.95">
      <c r="A72" s="253"/>
      <c r="B72" s="216"/>
      <c r="C72" s="242"/>
      <c r="D72" s="75" t="s">
        <v>440</v>
      </c>
      <c r="E72" s="71" t="s">
        <v>441</v>
      </c>
      <c r="F72" s="71" t="s">
        <v>367</v>
      </c>
      <c r="G72" s="98" t="s">
        <v>442</v>
      </c>
      <c r="H72" s="71" t="s">
        <v>435</v>
      </c>
      <c r="I72" s="71" t="s">
        <v>443</v>
      </c>
      <c r="J72" s="71" t="s">
        <v>204</v>
      </c>
      <c r="K72" s="99">
        <v>672515</v>
      </c>
      <c r="L72" s="100">
        <v>126016772</v>
      </c>
      <c r="M72" s="100">
        <v>126689287</v>
      </c>
      <c r="N72" s="101">
        <v>125352390</v>
      </c>
      <c r="O72" s="101">
        <v>125352569</v>
      </c>
      <c r="P72" s="101">
        <v>126024924</v>
      </c>
      <c r="Q72" s="101">
        <v>126025235</v>
      </c>
      <c r="R72" s="102">
        <v>672356</v>
      </c>
      <c r="S72" s="98" t="s">
        <v>154</v>
      </c>
      <c r="T72" s="95" t="s">
        <v>208</v>
      </c>
      <c r="U72" s="98" t="s">
        <v>444</v>
      </c>
      <c r="V72" s="98" t="s">
        <v>44</v>
      </c>
      <c r="Z72" s="98" t="s">
        <v>445</v>
      </c>
      <c r="AA72" s="98">
        <v>140.9</v>
      </c>
      <c r="AB72" s="98">
        <v>1.84</v>
      </c>
      <c r="AC72" s="98" t="s">
        <v>268</v>
      </c>
    </row>
    <row r="73" spans="1:29" ht="17.100000000000001" thickBot="1">
      <c r="A73" s="254"/>
      <c r="B73" s="216"/>
      <c r="C73" s="242"/>
      <c r="D73" s="75" t="s">
        <v>446</v>
      </c>
      <c r="H73" s="71" t="s">
        <v>447</v>
      </c>
      <c r="I73" s="71" t="s">
        <v>448</v>
      </c>
      <c r="J73" s="71" t="s">
        <v>204</v>
      </c>
      <c r="K73" s="99" t="s">
        <v>449</v>
      </c>
      <c r="L73" s="100">
        <v>126016772</v>
      </c>
      <c r="M73" s="100">
        <v>126689287</v>
      </c>
      <c r="S73" s="98" t="s">
        <v>154</v>
      </c>
      <c r="T73" s="71" t="s">
        <v>208</v>
      </c>
      <c r="U73" s="98" t="s">
        <v>444</v>
      </c>
      <c r="V73" s="98" t="s">
        <v>44</v>
      </c>
      <c r="X73" s="71">
        <v>3</v>
      </c>
    </row>
    <row r="74" spans="1:29" s="11" customFormat="1" ht="15.95">
      <c r="A74" s="249" t="s">
        <v>450</v>
      </c>
      <c r="B74" s="204" t="s">
        <v>451</v>
      </c>
      <c r="C74" s="247">
        <v>20</v>
      </c>
      <c r="D74" s="17" t="s">
        <v>452</v>
      </c>
      <c r="E74" s="11" t="s">
        <v>453</v>
      </c>
      <c r="F74" s="11" t="s">
        <v>454</v>
      </c>
      <c r="G74" s="2" t="s">
        <v>108</v>
      </c>
      <c r="H74" s="11" t="s">
        <v>455</v>
      </c>
      <c r="I74" s="11" t="s">
        <v>456</v>
      </c>
      <c r="J74" s="11" t="s">
        <v>204</v>
      </c>
      <c r="K74" s="56">
        <v>4365976</v>
      </c>
      <c r="L74" s="60">
        <v>122477418</v>
      </c>
      <c r="M74" s="60">
        <v>126843396</v>
      </c>
      <c r="N74" s="76" t="s">
        <v>457</v>
      </c>
      <c r="O74" s="76"/>
      <c r="P74" s="76">
        <v>126174997</v>
      </c>
      <c r="Q74" s="76">
        <v>126175035</v>
      </c>
      <c r="S74" s="12" t="s">
        <v>458</v>
      </c>
      <c r="T74" s="11" t="s">
        <v>459</v>
      </c>
      <c r="U74" s="12"/>
      <c r="V74" s="12"/>
      <c r="Y74" s="12"/>
      <c r="Z74" s="12" t="s">
        <v>248</v>
      </c>
      <c r="AA74" s="12"/>
      <c r="AB74" s="12"/>
      <c r="AC74" s="12"/>
    </row>
    <row r="75" spans="1:29">
      <c r="A75" s="250"/>
      <c r="B75" s="204"/>
      <c r="C75" s="247"/>
      <c r="E75" s="71" t="s">
        <v>460</v>
      </c>
      <c r="G75" s="113" t="s">
        <v>108</v>
      </c>
      <c r="H75" s="71" t="s">
        <v>216</v>
      </c>
      <c r="I75" s="71"/>
      <c r="K75" s="135"/>
      <c r="T75" s="71" t="s">
        <v>219</v>
      </c>
      <c r="Z75" s="98" t="s">
        <v>248</v>
      </c>
    </row>
    <row r="76" spans="1:29" ht="15.95">
      <c r="A76" s="250"/>
      <c r="B76" s="217"/>
      <c r="C76" s="247"/>
      <c r="D76" s="75" t="s">
        <v>452</v>
      </c>
      <c r="E76" s="71" t="s">
        <v>461</v>
      </c>
      <c r="G76" s="113"/>
      <c r="H76" s="71" t="s">
        <v>455</v>
      </c>
      <c r="I76" s="71" t="s">
        <v>456</v>
      </c>
      <c r="J76" s="71" t="s">
        <v>204</v>
      </c>
      <c r="K76" s="135">
        <v>4365976</v>
      </c>
      <c r="L76" s="100">
        <v>122477418</v>
      </c>
      <c r="M76" s="100">
        <v>126843396</v>
      </c>
      <c r="T76" s="71" t="s">
        <v>459</v>
      </c>
      <c r="Z76" s="98" t="s">
        <v>248</v>
      </c>
    </row>
    <row r="77" spans="1:29" ht="15.95">
      <c r="A77" s="250" t="s">
        <v>462</v>
      </c>
      <c r="B77" s="204"/>
      <c r="C77" s="242">
        <v>21</v>
      </c>
      <c r="D77" s="75" t="s">
        <v>452</v>
      </c>
      <c r="E77" s="71" t="s">
        <v>463</v>
      </c>
      <c r="F77" s="71" t="s">
        <v>464</v>
      </c>
      <c r="G77" s="113" t="s">
        <v>465</v>
      </c>
      <c r="H77" s="71" t="s">
        <v>455</v>
      </c>
      <c r="I77" s="71" t="s">
        <v>456</v>
      </c>
      <c r="J77" s="71" t="s">
        <v>204</v>
      </c>
      <c r="K77" s="135">
        <v>4366000</v>
      </c>
      <c r="L77" s="100">
        <v>122477254</v>
      </c>
      <c r="M77" s="100">
        <v>126843256</v>
      </c>
      <c r="T77" s="71" t="s">
        <v>459</v>
      </c>
      <c r="AA77" s="98">
        <v>218.8</v>
      </c>
      <c r="AB77" s="98">
        <v>1.91</v>
      </c>
      <c r="AC77" s="98" t="s">
        <v>466</v>
      </c>
    </row>
    <row r="78" spans="1:29" ht="15.95">
      <c r="A78" s="250"/>
      <c r="B78" s="204" t="s">
        <v>467</v>
      </c>
      <c r="C78" s="242"/>
      <c r="D78" s="75" t="s">
        <v>452</v>
      </c>
      <c r="E78" s="71" t="s">
        <v>468</v>
      </c>
      <c r="F78" s="71" t="s">
        <v>469</v>
      </c>
      <c r="G78" s="113" t="s">
        <v>470</v>
      </c>
      <c r="H78" s="71" t="s">
        <v>455</v>
      </c>
      <c r="I78" s="71" t="s">
        <v>456</v>
      </c>
      <c r="J78" s="71" t="s">
        <v>204</v>
      </c>
      <c r="K78" s="135">
        <v>4366000</v>
      </c>
      <c r="L78" s="100">
        <v>122477254</v>
      </c>
      <c r="M78" s="100">
        <v>126843256</v>
      </c>
      <c r="N78" s="101" t="s">
        <v>457</v>
      </c>
      <c r="P78" s="101">
        <v>126174997</v>
      </c>
      <c r="Q78" s="101">
        <v>126175035</v>
      </c>
      <c r="S78" s="98" t="s">
        <v>471</v>
      </c>
      <c r="T78" s="95"/>
      <c r="AA78" s="98">
        <v>406</v>
      </c>
      <c r="AC78" s="98" t="s">
        <v>472</v>
      </c>
    </row>
    <row r="79" spans="1:29" ht="15.95">
      <c r="A79" s="250"/>
      <c r="B79" s="204"/>
      <c r="C79" s="242"/>
      <c r="D79" s="75" t="s">
        <v>452</v>
      </c>
      <c r="E79" s="71" t="s">
        <v>473</v>
      </c>
      <c r="G79" s="113"/>
      <c r="H79" s="71" t="s">
        <v>455</v>
      </c>
      <c r="I79" s="71" t="s">
        <v>474</v>
      </c>
      <c r="J79" s="71" t="s">
        <v>204</v>
      </c>
      <c r="K79" s="135">
        <v>4360564</v>
      </c>
      <c r="L79" s="100">
        <v>122478988</v>
      </c>
      <c r="M79" s="100">
        <v>126839551</v>
      </c>
      <c r="T79" s="71" t="s">
        <v>459</v>
      </c>
      <c r="Z79" s="98" t="s">
        <v>248</v>
      </c>
      <c r="AA79" s="98">
        <v>428</v>
      </c>
      <c r="AB79" s="98">
        <v>1.85</v>
      </c>
      <c r="AC79" s="98" t="s">
        <v>475</v>
      </c>
    </row>
    <row r="80" spans="1:29">
      <c r="A80" s="204"/>
      <c r="B80" s="204"/>
      <c r="C80" s="242"/>
      <c r="D80" s="71"/>
      <c r="E80" s="71" t="s">
        <v>460</v>
      </c>
      <c r="G80" s="113" t="s">
        <v>207</v>
      </c>
      <c r="H80" s="71" t="s">
        <v>216</v>
      </c>
      <c r="I80" s="98" t="s">
        <v>207</v>
      </c>
      <c r="J80" s="71" t="s">
        <v>217</v>
      </c>
      <c r="K80" s="135" t="s">
        <v>207</v>
      </c>
      <c r="L80" s="100" t="s">
        <v>207</v>
      </c>
      <c r="M80" s="100" t="s">
        <v>207</v>
      </c>
      <c r="N80" s="101" t="s">
        <v>207</v>
      </c>
      <c r="O80" s="101" t="s">
        <v>207</v>
      </c>
      <c r="P80" s="101" t="s">
        <v>207</v>
      </c>
      <c r="Q80" s="101" t="s">
        <v>207</v>
      </c>
      <c r="R80" s="71" t="s">
        <v>207</v>
      </c>
      <c r="S80" s="98" t="s">
        <v>207</v>
      </c>
      <c r="T80" s="71" t="s">
        <v>277</v>
      </c>
      <c r="AA80" s="71"/>
      <c r="AB80" s="71"/>
      <c r="AC80" s="71"/>
    </row>
    <row r="81" spans="1:29" ht="15.95" thickBot="1">
      <c r="A81" s="204"/>
      <c r="B81" s="204"/>
      <c r="C81" s="242"/>
      <c r="D81" s="71"/>
      <c r="E81" s="71" t="s">
        <v>476</v>
      </c>
      <c r="G81" s="113" t="s">
        <v>207</v>
      </c>
      <c r="H81" s="71" t="s">
        <v>216</v>
      </c>
      <c r="I81" s="98" t="s">
        <v>207</v>
      </c>
      <c r="J81" s="71" t="s">
        <v>217</v>
      </c>
      <c r="K81" s="135" t="s">
        <v>207</v>
      </c>
      <c r="L81" s="100" t="s">
        <v>207</v>
      </c>
      <c r="M81" s="100" t="s">
        <v>207</v>
      </c>
      <c r="N81" s="101" t="s">
        <v>207</v>
      </c>
      <c r="O81" s="101" t="s">
        <v>207</v>
      </c>
      <c r="P81" s="101" t="s">
        <v>207</v>
      </c>
      <c r="Q81" s="101" t="s">
        <v>207</v>
      </c>
      <c r="R81" s="71" t="s">
        <v>207</v>
      </c>
      <c r="S81" s="98" t="s">
        <v>207</v>
      </c>
      <c r="T81" s="71" t="s">
        <v>277</v>
      </c>
      <c r="Z81" s="98" t="s">
        <v>248</v>
      </c>
      <c r="AA81" s="71"/>
      <c r="AB81" s="71"/>
      <c r="AC81" s="71"/>
    </row>
    <row r="82" spans="1:29" s="37" customFormat="1">
      <c r="A82" s="71"/>
      <c r="B82" s="71"/>
      <c r="C82" s="242"/>
      <c r="D82" s="159"/>
      <c r="E82" s="37" t="s">
        <v>477</v>
      </c>
      <c r="G82" s="46" t="s">
        <v>207</v>
      </c>
      <c r="I82" s="45"/>
      <c r="K82" s="57"/>
      <c r="L82" s="170"/>
      <c r="M82" s="170"/>
      <c r="N82" s="88"/>
      <c r="O82" s="88"/>
      <c r="P82" s="88"/>
      <c r="Q82" s="88"/>
      <c r="S82" s="45"/>
      <c r="T82" s="51"/>
      <c r="U82" s="45"/>
      <c r="V82" s="45"/>
      <c r="Y82" s="45"/>
      <c r="Z82" s="45"/>
      <c r="AA82" s="45"/>
      <c r="AB82" s="45"/>
      <c r="AC82" s="45" t="s">
        <v>478</v>
      </c>
    </row>
    <row r="83" spans="1:29" s="30" customFormat="1" ht="15.95" thickBot="1">
      <c r="A83" s="71"/>
      <c r="B83" s="71"/>
      <c r="C83" s="242"/>
      <c r="D83" s="31"/>
      <c r="E83" s="30" t="s">
        <v>479</v>
      </c>
      <c r="G83" s="44" t="s">
        <v>207</v>
      </c>
      <c r="I83" s="32"/>
      <c r="K83" s="58"/>
      <c r="L83" s="69"/>
      <c r="M83" s="69"/>
      <c r="N83" s="81"/>
      <c r="O83" s="81"/>
      <c r="P83" s="81"/>
      <c r="Q83" s="81"/>
      <c r="S83" s="32"/>
      <c r="T83" s="50"/>
      <c r="U83" s="32"/>
      <c r="V83" s="32"/>
      <c r="Y83" s="32"/>
      <c r="Z83" s="32"/>
      <c r="AA83" s="32"/>
      <c r="AB83" s="32"/>
      <c r="AC83" s="32" t="s">
        <v>480</v>
      </c>
    </row>
    <row r="84" spans="1:29" s="72" customFormat="1" ht="15.95">
      <c r="A84" s="250" t="s">
        <v>481</v>
      </c>
      <c r="B84" s="204" t="s">
        <v>482</v>
      </c>
      <c r="C84" s="247">
        <v>22</v>
      </c>
      <c r="D84" s="75" t="s">
        <v>452</v>
      </c>
      <c r="E84" s="72" t="s">
        <v>483</v>
      </c>
      <c r="F84" s="72" t="s">
        <v>484</v>
      </c>
      <c r="G84" s="137" t="s">
        <v>485</v>
      </c>
      <c r="H84" s="72" t="s">
        <v>486</v>
      </c>
      <c r="I84" s="94"/>
      <c r="J84" s="72" t="s">
        <v>277</v>
      </c>
      <c r="K84" s="138"/>
      <c r="L84" s="130"/>
      <c r="M84" s="130"/>
      <c r="N84" s="129" t="s">
        <v>487</v>
      </c>
      <c r="O84" s="129" t="s">
        <v>487</v>
      </c>
      <c r="P84" s="129">
        <v>126183350</v>
      </c>
      <c r="Q84" s="129">
        <v>126183539</v>
      </c>
      <c r="S84" s="94"/>
      <c r="T84" s="95"/>
      <c r="U84" s="94"/>
      <c r="V84" s="94"/>
      <c r="Y84" s="94"/>
      <c r="Z84" s="94" t="s">
        <v>252</v>
      </c>
      <c r="AA84" s="94">
        <v>659.7</v>
      </c>
      <c r="AB84" s="94">
        <v>1.88</v>
      </c>
      <c r="AC84" s="94" t="s">
        <v>488</v>
      </c>
    </row>
    <row r="85" spans="1:29" s="72" customFormat="1" ht="15.95">
      <c r="A85" s="250"/>
      <c r="B85" s="217"/>
      <c r="C85" s="247"/>
      <c r="D85" s="75" t="s">
        <v>452</v>
      </c>
      <c r="F85" s="72" t="s">
        <v>489</v>
      </c>
      <c r="G85" s="137" t="s">
        <v>486</v>
      </c>
      <c r="H85" s="72" t="s">
        <v>486</v>
      </c>
      <c r="I85" s="94"/>
      <c r="K85" s="138"/>
      <c r="L85" s="130"/>
      <c r="M85" s="130"/>
      <c r="N85" s="129"/>
      <c r="O85" s="129"/>
      <c r="P85" s="129"/>
      <c r="Q85" s="129"/>
      <c r="S85" s="94"/>
      <c r="T85" s="95"/>
      <c r="U85" s="94"/>
      <c r="V85" s="94"/>
      <c r="Y85" s="94"/>
      <c r="Z85" s="94"/>
      <c r="AA85" s="94"/>
      <c r="AB85" s="94"/>
      <c r="AC85" s="94" t="s">
        <v>490</v>
      </c>
    </row>
    <row r="86" spans="1:29">
      <c r="A86" s="250"/>
      <c r="B86" s="217"/>
      <c r="C86" s="247"/>
      <c r="D86" s="71"/>
      <c r="F86" s="71" t="s">
        <v>491</v>
      </c>
      <c r="G86" s="113" t="s">
        <v>492</v>
      </c>
      <c r="H86" s="71" t="s">
        <v>486</v>
      </c>
      <c r="I86" s="98" t="s">
        <v>207</v>
      </c>
      <c r="J86" s="71" t="s">
        <v>217</v>
      </c>
      <c r="K86" s="135" t="s">
        <v>207</v>
      </c>
      <c r="L86" s="100" t="s">
        <v>207</v>
      </c>
      <c r="M86" s="100" t="s">
        <v>207</v>
      </c>
      <c r="N86" s="101" t="s">
        <v>207</v>
      </c>
      <c r="O86" s="101" t="s">
        <v>207</v>
      </c>
      <c r="P86" s="101" t="s">
        <v>207</v>
      </c>
      <c r="Q86" s="101" t="s">
        <v>207</v>
      </c>
      <c r="R86" s="71" t="s">
        <v>207</v>
      </c>
      <c r="S86" s="98" t="s">
        <v>207</v>
      </c>
      <c r="T86" s="95"/>
      <c r="Z86" s="98" t="s">
        <v>493</v>
      </c>
      <c r="AA86" s="71"/>
      <c r="AB86" s="71"/>
      <c r="AC86" s="71"/>
    </row>
    <row r="87" spans="1:29" s="72" customFormat="1" ht="15.95">
      <c r="A87" s="250"/>
      <c r="B87" s="217"/>
      <c r="C87" s="247"/>
      <c r="D87" s="75" t="s">
        <v>452</v>
      </c>
      <c r="F87" s="72" t="s">
        <v>494</v>
      </c>
      <c r="G87" s="137" t="s">
        <v>486</v>
      </c>
      <c r="H87" s="72" t="s">
        <v>486</v>
      </c>
      <c r="I87" s="94"/>
      <c r="K87" s="138"/>
      <c r="L87" s="130"/>
      <c r="M87" s="130"/>
      <c r="N87" s="129"/>
      <c r="O87" s="129"/>
      <c r="P87" s="129"/>
      <c r="Q87" s="129"/>
      <c r="S87" s="94"/>
      <c r="T87" s="95"/>
      <c r="U87" s="94"/>
      <c r="V87" s="94"/>
      <c r="Y87" s="94"/>
      <c r="Z87" s="94"/>
      <c r="AA87" s="94"/>
      <c r="AB87" s="94"/>
      <c r="AC87" s="94" t="s">
        <v>495</v>
      </c>
    </row>
    <row r="88" spans="1:29">
      <c r="A88" s="250"/>
      <c r="B88" s="217"/>
      <c r="C88" s="247"/>
      <c r="D88" s="71"/>
      <c r="F88" s="71" t="s">
        <v>496</v>
      </c>
      <c r="G88" s="113" t="s">
        <v>492</v>
      </c>
      <c r="H88" s="71" t="s">
        <v>486</v>
      </c>
      <c r="I88" s="98" t="s">
        <v>207</v>
      </c>
      <c r="J88" s="71" t="s">
        <v>217</v>
      </c>
      <c r="K88" s="135" t="s">
        <v>207</v>
      </c>
      <c r="L88" s="100" t="s">
        <v>207</v>
      </c>
      <c r="M88" s="100" t="s">
        <v>207</v>
      </c>
      <c r="N88" s="101" t="s">
        <v>207</v>
      </c>
      <c r="O88" s="101" t="s">
        <v>207</v>
      </c>
      <c r="P88" s="101" t="s">
        <v>207</v>
      </c>
      <c r="Q88" s="101" t="s">
        <v>207</v>
      </c>
      <c r="R88" s="71" t="s">
        <v>207</v>
      </c>
      <c r="S88" s="98" t="s">
        <v>207</v>
      </c>
      <c r="T88" s="95"/>
      <c r="Z88" s="98" t="s">
        <v>497</v>
      </c>
      <c r="AA88" s="71"/>
      <c r="AB88" s="71"/>
      <c r="AC88" s="71"/>
    </row>
    <row r="89" spans="1:29" s="72" customFormat="1" ht="15.95">
      <c r="A89" s="250"/>
      <c r="B89" s="217"/>
      <c r="C89" s="247"/>
      <c r="D89" s="75" t="s">
        <v>452</v>
      </c>
      <c r="F89" s="72" t="s">
        <v>498</v>
      </c>
      <c r="G89" s="137" t="s">
        <v>486</v>
      </c>
      <c r="H89" s="72" t="s">
        <v>486</v>
      </c>
      <c r="I89" s="94"/>
      <c r="K89" s="138"/>
      <c r="L89" s="130"/>
      <c r="M89" s="130"/>
      <c r="N89" s="129"/>
      <c r="O89" s="129"/>
      <c r="P89" s="129"/>
      <c r="Q89" s="129"/>
      <c r="S89" s="94"/>
      <c r="T89" s="95"/>
      <c r="U89" s="94"/>
      <c r="V89" s="94"/>
      <c r="Y89" s="94"/>
      <c r="Z89" s="94"/>
      <c r="AA89" s="94"/>
      <c r="AB89" s="94"/>
      <c r="AC89" s="94" t="s">
        <v>499</v>
      </c>
    </row>
    <row r="90" spans="1:29" ht="15.95">
      <c r="A90" s="250"/>
      <c r="B90" s="217"/>
      <c r="C90" s="247"/>
      <c r="D90" s="75" t="s">
        <v>452</v>
      </c>
      <c r="F90" s="71" t="s">
        <v>500</v>
      </c>
      <c r="G90" s="113" t="s">
        <v>501</v>
      </c>
      <c r="J90" s="71" t="s">
        <v>204</v>
      </c>
      <c r="K90" s="135">
        <v>4366065</v>
      </c>
      <c r="L90" s="100">
        <v>122476520</v>
      </c>
      <c r="M90" s="100">
        <v>126842588</v>
      </c>
      <c r="T90" s="71" t="s">
        <v>502</v>
      </c>
      <c r="AC90" s="98" t="s">
        <v>503</v>
      </c>
    </row>
    <row r="91" spans="1:29" ht="17.100000000000001" thickBot="1">
      <c r="A91" s="192" t="s">
        <v>481</v>
      </c>
      <c r="B91" s="204" t="s">
        <v>482</v>
      </c>
      <c r="C91" s="71">
        <v>23</v>
      </c>
      <c r="D91" s="75" t="s">
        <v>504</v>
      </c>
      <c r="H91" s="71" t="s">
        <v>421</v>
      </c>
      <c r="I91" s="71" t="s">
        <v>380</v>
      </c>
      <c r="J91" s="71" t="s">
        <v>204</v>
      </c>
      <c r="K91" s="99" t="s">
        <v>505</v>
      </c>
      <c r="L91" s="100">
        <v>122477254</v>
      </c>
      <c r="M91" s="100">
        <v>126843256</v>
      </c>
      <c r="S91" s="98" t="s">
        <v>506</v>
      </c>
      <c r="T91" s="71" t="s">
        <v>423</v>
      </c>
      <c r="U91" s="98" t="s">
        <v>424</v>
      </c>
      <c r="V91" s="98" t="s">
        <v>425</v>
      </c>
      <c r="W91" s="71">
        <v>5</v>
      </c>
      <c r="X91" s="71">
        <v>5</v>
      </c>
      <c r="Y91" s="98" t="s">
        <v>426</v>
      </c>
    </row>
    <row r="92" spans="1:29" s="11" customFormat="1" ht="17.100000000000001" thickBot="1">
      <c r="A92" s="189" t="s">
        <v>507</v>
      </c>
      <c r="B92" s="216" t="s">
        <v>47</v>
      </c>
      <c r="C92" s="71">
        <v>24</v>
      </c>
      <c r="D92" s="17" t="s">
        <v>508</v>
      </c>
      <c r="G92" s="12"/>
      <c r="H92" s="11" t="s">
        <v>435</v>
      </c>
      <c r="I92" s="11" t="s">
        <v>380</v>
      </c>
      <c r="J92" s="11" t="s">
        <v>204</v>
      </c>
      <c r="K92" s="4" t="s">
        <v>509</v>
      </c>
      <c r="L92" s="60">
        <v>126050112</v>
      </c>
      <c r="M92" s="60">
        <v>126707361</v>
      </c>
      <c r="N92" s="76"/>
      <c r="O92" s="76"/>
      <c r="P92" s="76"/>
      <c r="Q92" s="76"/>
      <c r="S92" s="12"/>
      <c r="T92" s="11" t="s">
        <v>208</v>
      </c>
      <c r="U92" s="12" t="s">
        <v>510</v>
      </c>
      <c r="V92" s="12" t="s">
        <v>511</v>
      </c>
      <c r="X92" s="11">
        <v>32</v>
      </c>
      <c r="Y92" s="12" t="s">
        <v>512</v>
      </c>
      <c r="Z92" s="12"/>
      <c r="AA92" s="12"/>
      <c r="AB92" s="12"/>
      <c r="AC92" s="12"/>
    </row>
    <row r="93" spans="1:29" s="21" customFormat="1" ht="17.100000000000001" thickBot="1">
      <c r="A93" s="252" t="s">
        <v>513</v>
      </c>
      <c r="B93" s="216" t="s">
        <v>51</v>
      </c>
      <c r="C93" s="248">
        <v>25</v>
      </c>
      <c r="D93" s="24" t="s">
        <v>50</v>
      </c>
      <c r="G93" s="22"/>
      <c r="H93" s="21" t="s">
        <v>447</v>
      </c>
      <c r="I93" s="21" t="s">
        <v>448</v>
      </c>
      <c r="J93" s="21" t="s">
        <v>204</v>
      </c>
      <c r="K93" s="5" t="s">
        <v>514</v>
      </c>
      <c r="L93" s="63">
        <v>126156719</v>
      </c>
      <c r="M93" s="63">
        <v>126765604</v>
      </c>
      <c r="N93" s="79"/>
      <c r="O93" s="79"/>
      <c r="P93" s="79"/>
      <c r="Q93" s="79"/>
      <c r="S93" s="22" t="s">
        <v>155</v>
      </c>
      <c r="T93" s="21" t="s">
        <v>208</v>
      </c>
      <c r="U93" s="22" t="s">
        <v>515</v>
      </c>
      <c r="V93" s="22" t="s">
        <v>48</v>
      </c>
      <c r="Y93" s="22"/>
      <c r="Z93" s="22"/>
      <c r="AA93" s="22"/>
      <c r="AB93" s="22"/>
      <c r="AC93" s="22"/>
    </row>
    <row r="94" spans="1:29" s="21" customFormat="1" ht="15.95" thickBot="1">
      <c r="A94" s="253"/>
      <c r="B94" s="218"/>
      <c r="C94" s="248"/>
      <c r="D94" s="24"/>
      <c r="G94" s="22"/>
      <c r="K94" s="5"/>
      <c r="L94" s="63"/>
      <c r="M94" s="63"/>
      <c r="N94" s="79"/>
      <c r="O94" s="79"/>
      <c r="P94" s="79"/>
      <c r="Q94" s="79"/>
      <c r="S94" s="22"/>
      <c r="U94" s="22"/>
      <c r="V94" s="22"/>
      <c r="Y94" s="22"/>
      <c r="Z94" s="22"/>
      <c r="AA94" s="22"/>
      <c r="AB94" s="22"/>
      <c r="AC94" s="22"/>
    </row>
    <row r="95" spans="1:29" s="21" customFormat="1" ht="17.100000000000001" thickBot="1">
      <c r="A95" s="252" t="s">
        <v>516</v>
      </c>
      <c r="B95" s="216" t="s">
        <v>517</v>
      </c>
      <c r="C95" s="248">
        <v>26</v>
      </c>
      <c r="D95" s="24" t="s">
        <v>518</v>
      </c>
      <c r="F95" s="21" t="s">
        <v>519</v>
      </c>
      <c r="G95" s="10" t="s">
        <v>101</v>
      </c>
      <c r="H95" s="21" t="s">
        <v>435</v>
      </c>
      <c r="J95" s="21" t="s">
        <v>204</v>
      </c>
      <c r="K95" s="54">
        <v>608833</v>
      </c>
      <c r="L95" s="63">
        <v>126156745</v>
      </c>
      <c r="M95" s="63">
        <v>126765578</v>
      </c>
      <c r="N95" s="79">
        <v>125485126</v>
      </c>
      <c r="O95" s="79">
        <v>125492611</v>
      </c>
      <c r="P95" s="79">
        <v>126099789</v>
      </c>
      <c r="Q95" s="79">
        <v>126102021</v>
      </c>
      <c r="R95" s="21">
        <v>607179</v>
      </c>
      <c r="S95" s="22"/>
      <c r="T95" s="49"/>
      <c r="U95" s="22" t="s">
        <v>520</v>
      </c>
      <c r="V95" s="22" t="s">
        <v>52</v>
      </c>
      <c r="Y95" s="22"/>
      <c r="Z95" s="22"/>
      <c r="AA95" s="22"/>
      <c r="AB95" s="22"/>
      <c r="AC95" s="22"/>
    </row>
    <row r="96" spans="1:29">
      <c r="A96" s="253"/>
      <c r="B96" s="218"/>
      <c r="C96" s="248"/>
      <c r="G96" s="113"/>
      <c r="I96" s="71"/>
      <c r="K96" s="135"/>
      <c r="T96" s="95"/>
    </row>
    <row r="97" spans="1:29" ht="17.100000000000001" thickBot="1">
      <c r="A97" s="193" t="s">
        <v>521</v>
      </c>
      <c r="B97" s="177" t="s">
        <v>53</v>
      </c>
      <c r="C97" s="71">
        <v>27</v>
      </c>
      <c r="D97" s="75" t="s">
        <v>54</v>
      </c>
      <c r="G97" s="98" t="s">
        <v>522</v>
      </c>
      <c r="H97" s="71" t="s">
        <v>523</v>
      </c>
      <c r="I97" s="71" t="s">
        <v>203</v>
      </c>
      <c r="J97" s="71" t="s">
        <v>204</v>
      </c>
      <c r="K97" s="99">
        <v>474998</v>
      </c>
      <c r="L97" s="100">
        <v>126363827</v>
      </c>
      <c r="M97" s="100">
        <v>126838825</v>
      </c>
      <c r="T97" s="71" t="s">
        <v>524</v>
      </c>
      <c r="U97" s="98" t="s">
        <v>525</v>
      </c>
      <c r="V97" s="98" t="s">
        <v>526</v>
      </c>
      <c r="W97" s="71" t="s">
        <v>259</v>
      </c>
      <c r="Z97" s="98" t="s">
        <v>445</v>
      </c>
      <c r="AA97" s="98">
        <v>42</v>
      </c>
      <c r="AB97" s="98">
        <v>1.92</v>
      </c>
    </row>
    <row r="98" spans="1:29" s="11" customFormat="1">
      <c r="A98" s="249" t="s">
        <v>527</v>
      </c>
      <c r="B98" s="204" t="s">
        <v>55</v>
      </c>
      <c r="C98" s="242">
        <v>28</v>
      </c>
      <c r="D98" s="17"/>
      <c r="E98" s="11" t="s">
        <v>528</v>
      </c>
      <c r="F98" s="11" t="s">
        <v>529</v>
      </c>
      <c r="G98" s="2" t="s">
        <v>530</v>
      </c>
      <c r="H98" s="11" t="s">
        <v>531</v>
      </c>
      <c r="I98" s="12"/>
      <c r="J98" s="11" t="s">
        <v>204</v>
      </c>
      <c r="K98" s="56">
        <v>466623</v>
      </c>
      <c r="L98" s="60">
        <v>126512007</v>
      </c>
      <c r="M98" s="60">
        <v>126978629</v>
      </c>
      <c r="N98" s="76">
        <v>125845446</v>
      </c>
      <c r="O98" s="76">
        <v>125848049</v>
      </c>
      <c r="P98" s="76">
        <v>126314261</v>
      </c>
      <c r="Q98" s="76">
        <v>126314429</v>
      </c>
      <c r="R98" s="11">
        <v>466213</v>
      </c>
      <c r="S98" s="12"/>
      <c r="T98" s="11" t="s">
        <v>208</v>
      </c>
      <c r="U98" s="12"/>
      <c r="V98" s="12"/>
      <c r="Y98" s="12"/>
      <c r="Z98" s="12" t="s">
        <v>248</v>
      </c>
      <c r="AA98" s="12">
        <v>310.5</v>
      </c>
      <c r="AB98" s="12"/>
      <c r="AC98" s="12" t="s">
        <v>532</v>
      </c>
    </row>
    <row r="99" spans="1:29">
      <c r="A99" s="250"/>
      <c r="B99" s="204"/>
      <c r="C99" s="242"/>
      <c r="D99" s="71"/>
      <c r="E99" s="71" t="s">
        <v>533</v>
      </c>
      <c r="G99" s="113" t="s">
        <v>207</v>
      </c>
      <c r="H99" s="71" t="s">
        <v>216</v>
      </c>
      <c r="I99" s="98" t="s">
        <v>207</v>
      </c>
      <c r="J99" s="71" t="s">
        <v>217</v>
      </c>
      <c r="K99" s="135" t="s">
        <v>207</v>
      </c>
      <c r="L99" s="100" t="s">
        <v>207</v>
      </c>
      <c r="M99" s="100" t="s">
        <v>207</v>
      </c>
      <c r="N99" s="101" t="s">
        <v>207</v>
      </c>
      <c r="O99" s="101" t="s">
        <v>207</v>
      </c>
      <c r="P99" s="101" t="s">
        <v>207</v>
      </c>
      <c r="Q99" s="101" t="s">
        <v>207</v>
      </c>
      <c r="R99" s="71" t="s">
        <v>207</v>
      </c>
      <c r="S99" s="98" t="s">
        <v>207</v>
      </c>
      <c r="T99" s="71" t="s">
        <v>219</v>
      </c>
      <c r="Z99" s="98" t="s">
        <v>248</v>
      </c>
      <c r="AA99" s="71"/>
      <c r="AB99" s="71"/>
      <c r="AC99" s="71" t="s">
        <v>534</v>
      </c>
    </row>
    <row r="100" spans="1:29">
      <c r="A100" s="251"/>
      <c r="B100" s="204"/>
      <c r="C100" s="242"/>
      <c r="E100" s="71" t="s">
        <v>535</v>
      </c>
      <c r="G100" s="113" t="s">
        <v>207</v>
      </c>
      <c r="H100" s="71" t="s">
        <v>531</v>
      </c>
      <c r="I100" s="98" t="s">
        <v>536</v>
      </c>
      <c r="J100" s="71" t="s">
        <v>204</v>
      </c>
      <c r="K100" s="135">
        <v>466623</v>
      </c>
      <c r="L100" s="100">
        <v>126512007</v>
      </c>
      <c r="M100" s="100">
        <v>126978629</v>
      </c>
      <c r="T100" s="71" t="s">
        <v>537</v>
      </c>
      <c r="Z100" s="98" t="s">
        <v>252</v>
      </c>
      <c r="AA100" s="98">
        <v>116.4</v>
      </c>
      <c r="AC100" s="98" t="s">
        <v>538</v>
      </c>
    </row>
    <row r="101" spans="1:29">
      <c r="A101" s="192"/>
      <c r="B101" s="204"/>
      <c r="C101" s="75"/>
      <c r="E101" s="71" t="s">
        <v>539</v>
      </c>
      <c r="G101" s="113" t="s">
        <v>207</v>
      </c>
      <c r="H101" s="71" t="s">
        <v>216</v>
      </c>
      <c r="I101" s="98" t="s">
        <v>207</v>
      </c>
      <c r="J101" s="71" t="s">
        <v>217</v>
      </c>
      <c r="K101" s="135" t="s">
        <v>207</v>
      </c>
      <c r="L101" s="100" t="s">
        <v>207</v>
      </c>
      <c r="M101" s="100" t="s">
        <v>207</v>
      </c>
      <c r="N101" s="101" t="s">
        <v>207</v>
      </c>
      <c r="O101" s="101" t="s">
        <v>207</v>
      </c>
      <c r="P101" s="101" t="s">
        <v>207</v>
      </c>
      <c r="Q101" s="101" t="s">
        <v>207</v>
      </c>
      <c r="R101" s="71" t="s">
        <v>207</v>
      </c>
      <c r="S101" s="98" t="s">
        <v>207</v>
      </c>
      <c r="T101" s="71" t="s">
        <v>219</v>
      </c>
      <c r="Z101" s="98" t="s">
        <v>538</v>
      </c>
      <c r="AA101" s="71"/>
      <c r="AB101" s="71"/>
      <c r="AC101" s="71"/>
    </row>
    <row r="102" spans="1:29" s="13" customFormat="1" ht="17.100000000000001" thickBot="1">
      <c r="A102" s="188" t="s">
        <v>540</v>
      </c>
      <c r="B102" s="204"/>
      <c r="C102" s="71">
        <v>46</v>
      </c>
      <c r="D102" s="47" t="s">
        <v>541</v>
      </c>
      <c r="G102" s="14"/>
      <c r="H102" s="13" t="s">
        <v>421</v>
      </c>
      <c r="I102" s="13" t="s">
        <v>380</v>
      </c>
      <c r="J102" s="13" t="s">
        <v>204</v>
      </c>
      <c r="K102" s="25" t="s">
        <v>542</v>
      </c>
      <c r="L102" s="61">
        <v>126512007</v>
      </c>
      <c r="M102" s="61">
        <v>126978629</v>
      </c>
      <c r="N102" s="77"/>
      <c r="O102" s="77"/>
      <c r="P102" s="77"/>
      <c r="Q102" s="77"/>
      <c r="S102" s="14" t="s">
        <v>543</v>
      </c>
      <c r="T102" s="13" t="s">
        <v>423</v>
      </c>
      <c r="U102" s="14" t="s">
        <v>424</v>
      </c>
      <c r="V102" s="14" t="s">
        <v>425</v>
      </c>
      <c r="W102" s="13">
        <v>2</v>
      </c>
      <c r="X102" s="13">
        <v>2</v>
      </c>
      <c r="Y102" s="14" t="s">
        <v>426</v>
      </c>
      <c r="Z102" s="14"/>
      <c r="AA102" s="14"/>
      <c r="AB102" s="14"/>
      <c r="AC102" s="14"/>
    </row>
    <row r="103" spans="1:29" s="11" customFormat="1" ht="17.100000000000001" thickBot="1">
      <c r="A103" s="189" t="s">
        <v>544</v>
      </c>
      <c r="B103" s="216" t="s">
        <v>56</v>
      </c>
      <c r="C103" s="71">
        <v>29</v>
      </c>
      <c r="D103" s="17" t="s">
        <v>57</v>
      </c>
      <c r="G103" s="12"/>
      <c r="H103" s="11" t="s">
        <v>447</v>
      </c>
      <c r="I103" s="11" t="s">
        <v>448</v>
      </c>
      <c r="J103" s="11" t="s">
        <v>204</v>
      </c>
      <c r="K103" s="4" t="s">
        <v>545</v>
      </c>
      <c r="L103" s="60">
        <v>126522203</v>
      </c>
      <c r="M103" s="60">
        <v>126772687</v>
      </c>
      <c r="N103" s="76"/>
      <c r="O103" s="76"/>
      <c r="P103" s="76"/>
      <c r="Q103" s="76"/>
      <c r="S103" s="12" t="s">
        <v>158</v>
      </c>
      <c r="T103" s="11" t="s">
        <v>208</v>
      </c>
      <c r="U103" s="12" t="s">
        <v>444</v>
      </c>
      <c r="V103" s="12" t="s">
        <v>44</v>
      </c>
      <c r="Y103" s="12"/>
      <c r="Z103" s="12"/>
      <c r="AA103" s="12"/>
      <c r="AB103" s="12"/>
      <c r="AC103" s="12"/>
    </row>
    <row r="104" spans="1:29" s="21" customFormat="1" ht="15.95" thickBot="1">
      <c r="A104" s="188" t="s">
        <v>546</v>
      </c>
      <c r="B104" s="211" t="s">
        <v>58</v>
      </c>
      <c r="C104" s="71">
        <v>31</v>
      </c>
      <c r="D104" s="24"/>
      <c r="E104" s="21" t="s">
        <v>547</v>
      </c>
      <c r="G104" s="22"/>
      <c r="H104" s="8" t="s">
        <v>202</v>
      </c>
      <c r="I104" s="21" t="s">
        <v>548</v>
      </c>
      <c r="J104" s="21" t="s">
        <v>204</v>
      </c>
      <c r="K104" s="54">
        <v>275347</v>
      </c>
      <c r="L104" s="63">
        <v>126637847</v>
      </c>
      <c r="M104" s="63">
        <v>126913193</v>
      </c>
      <c r="N104" s="79" t="s">
        <v>207</v>
      </c>
      <c r="O104" s="79" t="s">
        <v>207</v>
      </c>
      <c r="P104" s="79" t="s">
        <v>207</v>
      </c>
      <c r="Q104" s="79" t="s">
        <v>207</v>
      </c>
      <c r="R104" s="21" t="s">
        <v>207</v>
      </c>
      <c r="S104" s="22" t="s">
        <v>549</v>
      </c>
      <c r="T104" s="49"/>
      <c r="U104" s="22" t="s">
        <v>550</v>
      </c>
      <c r="V104" s="22" t="s">
        <v>207</v>
      </c>
      <c r="Y104" s="22"/>
      <c r="Z104" s="22" t="s">
        <v>252</v>
      </c>
      <c r="AA104" s="22">
        <v>120</v>
      </c>
      <c r="AB104" s="22">
        <v>1.71</v>
      </c>
      <c r="AC104" s="22" t="s">
        <v>551</v>
      </c>
    </row>
    <row r="105" spans="1:29" s="21" customFormat="1" ht="15.95" thickBot="1">
      <c r="A105" s="188" t="s">
        <v>552</v>
      </c>
      <c r="B105" s="211" t="s">
        <v>59</v>
      </c>
      <c r="C105" s="71">
        <v>32</v>
      </c>
      <c r="D105" s="24"/>
      <c r="E105" s="21" t="s">
        <v>62</v>
      </c>
      <c r="G105" s="22"/>
      <c r="H105" s="21" t="s">
        <v>421</v>
      </c>
      <c r="J105" s="21" t="s">
        <v>204</v>
      </c>
      <c r="K105" s="5">
        <v>340785</v>
      </c>
      <c r="L105" s="63">
        <v>126695490</v>
      </c>
      <c r="M105" s="63">
        <v>127036275</v>
      </c>
      <c r="N105" s="79"/>
      <c r="O105" s="79"/>
      <c r="P105" s="79"/>
      <c r="Q105" s="79"/>
      <c r="S105" s="22" t="s">
        <v>159</v>
      </c>
      <c r="T105" s="21" t="s">
        <v>208</v>
      </c>
      <c r="U105" s="22" t="s">
        <v>553</v>
      </c>
      <c r="V105" s="22" t="s">
        <v>554</v>
      </c>
      <c r="W105" s="21">
        <v>3</v>
      </c>
      <c r="Y105" s="22" t="s">
        <v>555</v>
      </c>
      <c r="Z105" s="22"/>
      <c r="AA105" s="22"/>
      <c r="AB105" s="22"/>
      <c r="AC105" s="10"/>
    </row>
    <row r="106" spans="1:29" s="21" customFormat="1" ht="15.95" thickBot="1">
      <c r="A106" s="188" t="s">
        <v>556</v>
      </c>
      <c r="B106" s="211" t="s">
        <v>63</v>
      </c>
      <c r="C106" s="71">
        <v>33</v>
      </c>
      <c r="D106" s="24"/>
      <c r="E106" s="21" t="s">
        <v>557</v>
      </c>
      <c r="F106" s="21" t="s">
        <v>372</v>
      </c>
      <c r="G106" s="10" t="s">
        <v>558</v>
      </c>
      <c r="H106" s="21" t="s">
        <v>202</v>
      </c>
      <c r="I106" s="22" t="s">
        <v>559</v>
      </c>
      <c r="J106" s="21" t="s">
        <v>204</v>
      </c>
      <c r="K106" s="54">
        <v>191200</v>
      </c>
      <c r="L106" s="63">
        <v>126698430</v>
      </c>
      <c r="M106" s="63">
        <v>126889630</v>
      </c>
      <c r="N106" s="79">
        <v>126033986</v>
      </c>
      <c r="O106" s="79">
        <v>126034119</v>
      </c>
      <c r="P106" s="79">
        <v>126224461</v>
      </c>
      <c r="Q106" s="79">
        <v>126224862</v>
      </c>
      <c r="R106" s="21">
        <v>190343</v>
      </c>
      <c r="S106" s="22" t="s">
        <v>560</v>
      </c>
      <c r="T106" s="21" t="s">
        <v>208</v>
      </c>
      <c r="U106" s="22" t="s">
        <v>561</v>
      </c>
      <c r="V106" s="22"/>
      <c r="Y106" s="22"/>
      <c r="Z106" s="22"/>
      <c r="AA106" s="22" t="s">
        <v>562</v>
      </c>
      <c r="AB106" s="22">
        <v>1.87</v>
      </c>
      <c r="AC106" s="22"/>
    </row>
    <row r="107" spans="1:29" ht="17.100000000000001" thickBot="1">
      <c r="A107" s="191" t="s">
        <v>563</v>
      </c>
      <c r="B107" s="211" t="s">
        <v>64</v>
      </c>
      <c r="C107" s="71">
        <v>34</v>
      </c>
      <c r="D107" s="75" t="s">
        <v>67</v>
      </c>
      <c r="H107" s="71" t="s">
        <v>202</v>
      </c>
      <c r="I107" s="71" t="s">
        <v>203</v>
      </c>
      <c r="J107" s="71" t="s">
        <v>204</v>
      </c>
      <c r="K107" s="99">
        <v>324675</v>
      </c>
      <c r="L107" s="100">
        <v>126705102</v>
      </c>
      <c r="M107" s="100">
        <v>127029777</v>
      </c>
      <c r="S107" s="98" t="s">
        <v>160</v>
      </c>
      <c r="T107" s="71" t="s">
        <v>208</v>
      </c>
      <c r="U107" s="98" t="s">
        <v>564</v>
      </c>
      <c r="V107" s="98" t="s">
        <v>565</v>
      </c>
      <c r="W107" s="71">
        <v>2</v>
      </c>
    </row>
    <row r="108" spans="1:29" s="11" customFormat="1" ht="15.95">
      <c r="A108" s="245" t="s">
        <v>566</v>
      </c>
      <c r="B108" s="211" t="s">
        <v>69</v>
      </c>
      <c r="C108" s="242">
        <v>35</v>
      </c>
      <c r="D108" s="17" t="s">
        <v>567</v>
      </c>
      <c r="G108" s="12"/>
      <c r="H108" s="11" t="s">
        <v>202</v>
      </c>
      <c r="I108" s="11" t="s">
        <v>203</v>
      </c>
      <c r="J108" s="11" t="s">
        <v>204</v>
      </c>
      <c r="K108" s="4">
        <v>234020</v>
      </c>
      <c r="L108" s="60">
        <v>126713540</v>
      </c>
      <c r="M108" s="60">
        <v>126947560</v>
      </c>
      <c r="N108" s="76"/>
      <c r="O108" s="76"/>
      <c r="P108" s="76"/>
      <c r="Q108" s="76"/>
      <c r="S108" s="12" t="s">
        <v>161</v>
      </c>
      <c r="T108" s="11" t="s">
        <v>208</v>
      </c>
      <c r="U108" s="12" t="s">
        <v>291</v>
      </c>
      <c r="V108" s="12" t="s">
        <v>568</v>
      </c>
      <c r="X108" s="11">
        <v>2</v>
      </c>
      <c r="Y108" s="12"/>
      <c r="Z108" s="12"/>
      <c r="AA108" s="12"/>
      <c r="AB108" s="12"/>
      <c r="AC108" s="12"/>
    </row>
    <row r="109" spans="1:29" s="13" customFormat="1" ht="17.100000000000001" thickBot="1">
      <c r="A109" s="246"/>
      <c r="B109" s="211"/>
      <c r="C109" s="242"/>
      <c r="D109" s="47" t="s">
        <v>569</v>
      </c>
      <c r="G109" s="14"/>
      <c r="H109" s="13" t="s">
        <v>202</v>
      </c>
      <c r="I109" s="13" t="s">
        <v>203</v>
      </c>
      <c r="J109" s="13" t="s">
        <v>204</v>
      </c>
      <c r="K109" s="25">
        <v>234020</v>
      </c>
      <c r="L109" s="61">
        <v>126713540</v>
      </c>
      <c r="M109" s="61">
        <v>126947560</v>
      </c>
      <c r="N109" s="77"/>
      <c r="O109" s="77"/>
      <c r="P109" s="77"/>
      <c r="Q109" s="77"/>
      <c r="S109" s="14" t="s">
        <v>161</v>
      </c>
      <c r="T109" s="13" t="s">
        <v>208</v>
      </c>
      <c r="U109" s="14" t="s">
        <v>291</v>
      </c>
      <c r="V109" s="14" t="s">
        <v>570</v>
      </c>
      <c r="X109" s="13">
        <v>1</v>
      </c>
      <c r="Y109" s="14"/>
      <c r="Z109" s="14"/>
      <c r="AA109" s="14"/>
      <c r="AB109" s="14"/>
      <c r="AC109" s="14"/>
    </row>
    <row r="110" spans="1:29" ht="17.100000000000001" thickBot="1">
      <c r="A110" s="188" t="s">
        <v>571</v>
      </c>
      <c r="B110" s="211" t="s">
        <v>71</v>
      </c>
      <c r="C110" s="71">
        <v>36</v>
      </c>
      <c r="D110" s="75" t="s">
        <v>74</v>
      </c>
      <c r="H110" s="71" t="s">
        <v>202</v>
      </c>
      <c r="I110" s="71" t="s">
        <v>203</v>
      </c>
      <c r="J110" s="71" t="s">
        <v>204</v>
      </c>
      <c r="K110" s="99">
        <v>148085</v>
      </c>
      <c r="L110" s="100">
        <v>126718880</v>
      </c>
      <c r="M110" s="100">
        <v>126866965</v>
      </c>
      <c r="S110" s="98" t="s">
        <v>162</v>
      </c>
      <c r="T110" s="71" t="s">
        <v>208</v>
      </c>
      <c r="U110" s="98" t="s">
        <v>572</v>
      </c>
      <c r="V110" s="98" t="s">
        <v>573</v>
      </c>
      <c r="W110" s="71">
        <v>2</v>
      </c>
      <c r="X110" s="71">
        <v>12</v>
      </c>
      <c r="Y110" s="98" t="s">
        <v>574</v>
      </c>
    </row>
    <row r="111" spans="1:29" s="21" customFormat="1" ht="17.100000000000001" thickBot="1">
      <c r="A111" s="188" t="s">
        <v>575</v>
      </c>
      <c r="B111" s="211" t="s">
        <v>75</v>
      </c>
      <c r="C111" s="71">
        <v>37</v>
      </c>
      <c r="D111" s="24" t="s">
        <v>78</v>
      </c>
      <c r="F111" s="21" t="s">
        <v>576</v>
      </c>
      <c r="G111" s="22"/>
      <c r="H111" s="21" t="s">
        <v>202</v>
      </c>
      <c r="I111" s="21" t="s">
        <v>203</v>
      </c>
      <c r="J111" s="21" t="s">
        <v>204</v>
      </c>
      <c r="K111" s="5">
        <v>153769</v>
      </c>
      <c r="L111" s="63">
        <v>126732318</v>
      </c>
      <c r="M111" s="63">
        <v>126886087</v>
      </c>
      <c r="N111" s="79"/>
      <c r="O111" s="79"/>
      <c r="P111" s="79"/>
      <c r="Q111" s="79"/>
      <c r="S111" s="22" t="s">
        <v>163</v>
      </c>
      <c r="T111" s="21" t="s">
        <v>208</v>
      </c>
      <c r="U111" s="22" t="s">
        <v>577</v>
      </c>
      <c r="V111" s="22" t="s">
        <v>578</v>
      </c>
      <c r="W111" s="21">
        <v>2</v>
      </c>
      <c r="X111" s="21">
        <v>8</v>
      </c>
      <c r="Y111" s="22"/>
      <c r="Z111" s="22"/>
      <c r="AA111" s="22"/>
      <c r="AB111" s="22"/>
      <c r="AC111" s="22"/>
    </row>
    <row r="112" spans="1:29" s="21" customFormat="1" ht="17.100000000000001" thickBot="1">
      <c r="A112" s="188" t="s">
        <v>579</v>
      </c>
      <c r="B112" s="211" t="s">
        <v>79</v>
      </c>
      <c r="C112" s="71">
        <v>38</v>
      </c>
      <c r="D112" s="24" t="s">
        <v>80</v>
      </c>
      <c r="G112" s="22"/>
      <c r="H112" s="21" t="s">
        <v>202</v>
      </c>
      <c r="I112" s="21" t="s">
        <v>203</v>
      </c>
      <c r="J112" s="21" t="s">
        <v>204</v>
      </c>
      <c r="K112" s="5">
        <v>127608</v>
      </c>
      <c r="L112" s="63">
        <v>126736453</v>
      </c>
      <c r="M112" s="63">
        <v>126864061</v>
      </c>
      <c r="N112" s="79"/>
      <c r="O112" s="79"/>
      <c r="P112" s="79"/>
      <c r="Q112" s="79"/>
      <c r="S112" s="22" t="s">
        <v>164</v>
      </c>
      <c r="T112" s="21" t="s">
        <v>208</v>
      </c>
      <c r="U112" s="22" t="s">
        <v>291</v>
      </c>
      <c r="V112" s="22" t="s">
        <v>580</v>
      </c>
      <c r="W112" s="21">
        <v>1</v>
      </c>
      <c r="Y112" s="22"/>
      <c r="Z112" s="22"/>
      <c r="AA112" s="22"/>
      <c r="AB112" s="22"/>
      <c r="AC112" s="22"/>
    </row>
    <row r="113" spans="1:29" ht="15.95">
      <c r="A113" s="245" t="s">
        <v>581</v>
      </c>
      <c r="B113" s="211" t="s">
        <v>82</v>
      </c>
      <c r="C113" s="242">
        <v>39</v>
      </c>
      <c r="D113" s="75" t="s">
        <v>582</v>
      </c>
      <c r="H113" s="71" t="s">
        <v>421</v>
      </c>
      <c r="I113" s="71" t="s">
        <v>380</v>
      </c>
      <c r="J113" s="71" t="s">
        <v>204</v>
      </c>
      <c r="K113" s="99" t="s">
        <v>583</v>
      </c>
      <c r="L113" s="100">
        <v>126739243</v>
      </c>
      <c r="M113" s="100">
        <v>127054568</v>
      </c>
      <c r="T113" s="71" t="s">
        <v>208</v>
      </c>
      <c r="U113" s="98" t="s">
        <v>584</v>
      </c>
      <c r="V113" s="98" t="s">
        <v>83</v>
      </c>
    </row>
    <row r="114" spans="1:29" ht="17.100000000000001" thickBot="1">
      <c r="A114" s="246"/>
      <c r="B114" s="211"/>
      <c r="C114" s="242"/>
      <c r="D114" s="75" t="s">
        <v>585</v>
      </c>
      <c r="H114" s="71" t="s">
        <v>421</v>
      </c>
      <c r="I114" s="71" t="s">
        <v>380</v>
      </c>
      <c r="J114" s="71" t="s">
        <v>204</v>
      </c>
      <c r="K114" s="99" t="s">
        <v>586</v>
      </c>
      <c r="L114" s="100">
        <v>126739243</v>
      </c>
      <c r="M114" s="100">
        <v>127054568</v>
      </c>
      <c r="T114" s="71" t="s">
        <v>208</v>
      </c>
      <c r="U114" s="98" t="s">
        <v>584</v>
      </c>
      <c r="V114" s="98" t="s">
        <v>83</v>
      </c>
    </row>
    <row r="115" spans="1:29" s="21" customFormat="1" ht="17.100000000000001" thickBot="1">
      <c r="A115" s="188" t="s">
        <v>587</v>
      </c>
      <c r="B115" s="211" t="s">
        <v>85</v>
      </c>
      <c r="C115" s="71">
        <v>40</v>
      </c>
      <c r="D115" s="24" t="s">
        <v>588</v>
      </c>
      <c r="F115" s="21" t="s">
        <v>589</v>
      </c>
      <c r="G115" s="10" t="s">
        <v>590</v>
      </c>
      <c r="I115" s="22"/>
      <c r="J115" s="21" t="s">
        <v>204</v>
      </c>
      <c r="K115" s="54">
        <v>149703</v>
      </c>
      <c r="L115" s="63">
        <v>126753827</v>
      </c>
      <c r="M115" s="63">
        <v>126903529</v>
      </c>
      <c r="N115" s="79">
        <v>126089066</v>
      </c>
      <c r="O115" s="79">
        <v>126089156</v>
      </c>
      <c r="P115" s="79">
        <v>126239592</v>
      </c>
      <c r="Q115" s="79">
        <v>126244117</v>
      </c>
      <c r="R115" s="21">
        <v>150437</v>
      </c>
      <c r="S115" s="22" t="s">
        <v>591</v>
      </c>
      <c r="T115" s="49"/>
      <c r="U115" s="22"/>
      <c r="V115" s="22"/>
      <c r="W115" s="21" t="s">
        <v>208</v>
      </c>
      <c r="Y115" s="22"/>
      <c r="Z115" s="22"/>
      <c r="AA115" s="22"/>
      <c r="AB115" s="22"/>
      <c r="AC115" s="22"/>
    </row>
    <row r="116" spans="1:29" s="13" customFormat="1" ht="15.95" thickBot="1">
      <c r="A116" s="188" t="s">
        <v>592</v>
      </c>
      <c r="B116" s="211" t="s">
        <v>86</v>
      </c>
      <c r="C116" s="71">
        <v>41</v>
      </c>
      <c r="D116" s="47"/>
      <c r="G116" s="14"/>
      <c r="H116" s="13" t="s">
        <v>593</v>
      </c>
      <c r="I116" s="14" t="s">
        <v>594</v>
      </c>
      <c r="J116" s="13" t="s">
        <v>204</v>
      </c>
      <c r="K116" s="25" t="s">
        <v>595</v>
      </c>
      <c r="L116" s="61">
        <v>126763765</v>
      </c>
      <c r="M116" s="61">
        <v>126913191</v>
      </c>
      <c r="N116" s="77"/>
      <c r="O116" s="77"/>
      <c r="P116" s="77"/>
      <c r="Q116" s="77"/>
      <c r="S116" s="14"/>
      <c r="T116" s="13" t="s">
        <v>208</v>
      </c>
      <c r="U116" s="14" t="s">
        <v>596</v>
      </c>
      <c r="V116" s="14" t="s">
        <v>87</v>
      </c>
      <c r="X116" s="13">
        <v>1</v>
      </c>
      <c r="Y116" s="14"/>
      <c r="Z116" s="14"/>
      <c r="AA116" s="14"/>
      <c r="AB116" s="14"/>
      <c r="AC116" s="3"/>
    </row>
    <row r="117" spans="1:29" s="21" customFormat="1" ht="15.95" thickBot="1">
      <c r="A117" s="188" t="s">
        <v>597</v>
      </c>
      <c r="B117" s="211" t="s">
        <v>89</v>
      </c>
      <c r="C117" s="71">
        <v>42</v>
      </c>
      <c r="D117" s="24"/>
      <c r="E117" s="21" t="s">
        <v>598</v>
      </c>
      <c r="F117" s="21" t="s">
        <v>599</v>
      </c>
      <c r="G117" s="22"/>
      <c r="H117" s="8" t="s">
        <v>202</v>
      </c>
      <c r="I117" s="21" t="s">
        <v>600</v>
      </c>
      <c r="J117" s="21" t="s">
        <v>204</v>
      </c>
      <c r="K117" s="54">
        <v>156734</v>
      </c>
      <c r="L117" s="63">
        <v>126766199</v>
      </c>
      <c r="M117" s="63">
        <v>126922932</v>
      </c>
      <c r="N117" s="79" t="s">
        <v>207</v>
      </c>
      <c r="O117" s="79" t="s">
        <v>207</v>
      </c>
      <c r="P117" s="79" t="s">
        <v>207</v>
      </c>
      <c r="Q117" s="79" t="s">
        <v>207</v>
      </c>
      <c r="R117" s="21" t="s">
        <v>207</v>
      </c>
      <c r="S117" s="22" t="s">
        <v>601</v>
      </c>
      <c r="T117" s="49"/>
      <c r="U117" s="22" t="s">
        <v>561</v>
      </c>
      <c r="V117" s="22" t="s">
        <v>207</v>
      </c>
      <c r="Y117" s="22"/>
      <c r="Z117" s="22" t="s">
        <v>252</v>
      </c>
      <c r="AA117" s="22">
        <v>324</v>
      </c>
      <c r="AB117" s="22">
        <v>1.71</v>
      </c>
      <c r="AC117" s="22" t="s">
        <v>551</v>
      </c>
    </row>
    <row r="118" spans="1:29">
      <c r="A118" s="245" t="s">
        <v>602</v>
      </c>
      <c r="B118" s="211" t="s">
        <v>90</v>
      </c>
      <c r="C118" s="242">
        <v>43</v>
      </c>
      <c r="E118" s="71" t="s">
        <v>603</v>
      </c>
      <c r="H118" s="71" t="s">
        <v>421</v>
      </c>
      <c r="I118" s="71"/>
      <c r="J118" s="71" t="s">
        <v>204</v>
      </c>
      <c r="K118" s="99">
        <v>169455</v>
      </c>
      <c r="L118" s="100">
        <v>126789083</v>
      </c>
      <c r="M118" s="100">
        <v>126958538</v>
      </c>
      <c r="S118" s="98" t="s">
        <v>165</v>
      </c>
      <c r="T118" s="71" t="s">
        <v>208</v>
      </c>
      <c r="U118" s="98" t="s">
        <v>604</v>
      </c>
      <c r="V118" s="98" t="s">
        <v>91</v>
      </c>
      <c r="W118" s="71">
        <v>30</v>
      </c>
      <c r="X118" s="71">
        <v>8</v>
      </c>
      <c r="Y118" s="98" t="s">
        <v>555</v>
      </c>
      <c r="AC118" s="113"/>
    </row>
    <row r="119" spans="1:29" s="13" customFormat="1" ht="15.95" thickBot="1">
      <c r="A119" s="246"/>
      <c r="B119" s="211"/>
      <c r="C119" s="242"/>
      <c r="D119" s="47"/>
      <c r="E119" s="13" t="s">
        <v>605</v>
      </c>
      <c r="G119" s="14"/>
      <c r="H119" s="13" t="s">
        <v>421</v>
      </c>
      <c r="J119" s="13" t="s">
        <v>204</v>
      </c>
      <c r="K119" s="25">
        <v>169455</v>
      </c>
      <c r="L119" s="61">
        <v>126789083</v>
      </c>
      <c r="M119" s="61">
        <v>126958538</v>
      </c>
      <c r="N119" s="77"/>
      <c r="O119" s="77"/>
      <c r="P119" s="77"/>
      <c r="Q119" s="77"/>
      <c r="S119" s="14"/>
      <c r="T119" s="13" t="s">
        <v>208</v>
      </c>
      <c r="U119" s="14" t="s">
        <v>553</v>
      </c>
      <c r="V119" s="14" t="s">
        <v>68</v>
      </c>
      <c r="W119" s="13">
        <v>16</v>
      </c>
      <c r="Y119" s="14" t="s">
        <v>555</v>
      </c>
      <c r="Z119" s="14"/>
      <c r="AA119" s="14"/>
      <c r="AB119" s="14"/>
      <c r="AC119" s="3"/>
    </row>
    <row r="120" spans="1:29" s="13" customFormat="1" ht="17.100000000000001" thickBot="1">
      <c r="A120" s="188" t="s">
        <v>606</v>
      </c>
      <c r="B120" s="211" t="s">
        <v>94</v>
      </c>
      <c r="C120" s="71">
        <v>44</v>
      </c>
      <c r="D120" s="47" t="s">
        <v>607</v>
      </c>
      <c r="G120" s="14"/>
      <c r="H120" s="13" t="s">
        <v>421</v>
      </c>
      <c r="I120" s="13" t="s">
        <v>380</v>
      </c>
      <c r="J120" s="13" t="s">
        <v>204</v>
      </c>
      <c r="K120" s="25" t="s">
        <v>608</v>
      </c>
      <c r="L120" s="61">
        <v>126762001</v>
      </c>
      <c r="M120" s="61">
        <v>126997121</v>
      </c>
      <c r="N120" s="77"/>
      <c r="O120" s="77"/>
      <c r="P120" s="77"/>
      <c r="Q120" s="77"/>
      <c r="S120" s="14"/>
      <c r="T120" s="13" t="s">
        <v>208</v>
      </c>
      <c r="U120" s="14" t="s">
        <v>584</v>
      </c>
      <c r="V120" s="14" t="s">
        <v>83</v>
      </c>
      <c r="Y120" s="14"/>
      <c r="Z120" s="14"/>
      <c r="AA120" s="14"/>
      <c r="AB120" s="14"/>
      <c r="AC120" s="14"/>
    </row>
    <row r="121" spans="1:29" s="13" customFormat="1" ht="17.100000000000001" thickBot="1">
      <c r="A121" s="188" t="s">
        <v>609</v>
      </c>
      <c r="B121" s="211" t="s">
        <v>95</v>
      </c>
      <c r="C121" s="71">
        <v>45</v>
      </c>
      <c r="D121" s="47" t="s">
        <v>610</v>
      </c>
      <c r="G121" s="14"/>
      <c r="H121" s="13" t="s">
        <v>202</v>
      </c>
      <c r="I121" s="14" t="s">
        <v>611</v>
      </c>
      <c r="J121" s="13" t="s">
        <v>204</v>
      </c>
      <c r="K121" s="25" t="s">
        <v>612</v>
      </c>
      <c r="L121" s="61">
        <v>126805047</v>
      </c>
      <c r="M121" s="61">
        <v>126864688</v>
      </c>
      <c r="N121" s="77"/>
      <c r="O121" s="77"/>
      <c r="P121" s="77"/>
      <c r="Q121" s="77"/>
      <c r="S121" s="14"/>
      <c r="T121" s="13" t="s">
        <v>613</v>
      </c>
      <c r="U121" s="14" t="s">
        <v>614</v>
      </c>
      <c r="V121" s="14" t="s">
        <v>96</v>
      </c>
      <c r="W121" s="13">
        <v>2</v>
      </c>
      <c r="X121" s="13">
        <v>2</v>
      </c>
      <c r="Y121" s="14" t="s">
        <v>615</v>
      </c>
      <c r="Z121" s="14"/>
      <c r="AA121" s="14"/>
      <c r="AB121" s="14"/>
      <c r="AC121" s="3"/>
    </row>
    <row r="122" spans="1:29" s="37" customFormat="1" ht="15.95">
      <c r="A122" s="239"/>
      <c r="B122" s="71"/>
      <c r="C122" s="242">
        <v>47</v>
      </c>
      <c r="D122" s="159" t="s">
        <v>616</v>
      </c>
      <c r="F122" s="37" t="s">
        <v>617</v>
      </c>
      <c r="G122" s="45"/>
      <c r="H122" s="234" t="s">
        <v>618</v>
      </c>
      <c r="I122" s="37" t="s">
        <v>619</v>
      </c>
      <c r="J122" s="234" t="s">
        <v>204</v>
      </c>
      <c r="K122" s="157"/>
      <c r="L122" s="170"/>
      <c r="M122" s="170"/>
      <c r="N122" s="88"/>
      <c r="O122" s="88"/>
      <c r="P122" s="88"/>
      <c r="Q122" s="88"/>
      <c r="S122" s="45" t="s">
        <v>620</v>
      </c>
      <c r="T122" s="234" t="s">
        <v>423</v>
      </c>
      <c r="U122" s="92" t="s">
        <v>621</v>
      </c>
      <c r="V122" s="92" t="s">
        <v>622</v>
      </c>
      <c r="W122" s="92">
        <v>6</v>
      </c>
      <c r="X122" s="92">
        <v>1</v>
      </c>
      <c r="Y122" s="45"/>
      <c r="Z122" s="45"/>
      <c r="AA122" s="45"/>
      <c r="AB122" s="45"/>
      <c r="AC122" s="46" t="s">
        <v>623</v>
      </c>
    </row>
    <row r="123" spans="1:29" s="72" customFormat="1">
      <c r="A123" s="241"/>
      <c r="B123" s="71"/>
      <c r="C123" s="242"/>
      <c r="D123" s="127"/>
      <c r="F123" s="72" t="s">
        <v>624</v>
      </c>
      <c r="G123" s="94"/>
      <c r="H123" s="235"/>
      <c r="I123" s="72" t="s">
        <v>619</v>
      </c>
      <c r="J123" s="235"/>
      <c r="K123" s="128"/>
      <c r="L123" s="130"/>
      <c r="M123" s="130"/>
      <c r="N123" s="129"/>
      <c r="O123" s="129"/>
      <c r="P123" s="129"/>
      <c r="Q123" s="129"/>
      <c r="S123" s="94" t="s">
        <v>620</v>
      </c>
      <c r="T123" s="235"/>
      <c r="U123" s="96" t="s">
        <v>621</v>
      </c>
      <c r="V123" s="96" t="s">
        <v>622</v>
      </c>
      <c r="W123" s="96">
        <v>6</v>
      </c>
      <c r="X123" s="96">
        <v>1</v>
      </c>
      <c r="Y123" s="94"/>
      <c r="Z123" s="94"/>
      <c r="AA123" s="94"/>
      <c r="AB123" s="94"/>
      <c r="AC123" s="94" t="s">
        <v>625</v>
      </c>
    </row>
    <row r="124" spans="1:29" s="72" customFormat="1">
      <c r="A124" s="241"/>
      <c r="B124" s="71"/>
      <c r="C124" s="242"/>
      <c r="D124" s="127"/>
      <c r="F124" s="72" t="s">
        <v>626</v>
      </c>
      <c r="G124" s="94"/>
      <c r="H124" s="235"/>
      <c r="I124" s="72" t="s">
        <v>619</v>
      </c>
      <c r="J124" s="235"/>
      <c r="K124" s="128"/>
      <c r="L124" s="130"/>
      <c r="M124" s="130"/>
      <c r="N124" s="129"/>
      <c r="O124" s="129"/>
      <c r="P124" s="129"/>
      <c r="Q124" s="129"/>
      <c r="S124" s="94" t="s">
        <v>620</v>
      </c>
      <c r="T124" s="235"/>
      <c r="U124" s="96" t="s">
        <v>621</v>
      </c>
      <c r="V124" s="96" t="s">
        <v>622</v>
      </c>
      <c r="W124" s="96">
        <v>6</v>
      </c>
      <c r="X124" s="96">
        <v>1</v>
      </c>
      <c r="Y124" s="94"/>
      <c r="Z124" s="94"/>
      <c r="AA124" s="94"/>
      <c r="AB124" s="94"/>
      <c r="AC124" s="137" t="s">
        <v>627</v>
      </c>
    </row>
    <row r="125" spans="1:29" s="72" customFormat="1">
      <c r="A125" s="241"/>
      <c r="B125" s="71"/>
      <c r="C125" s="242"/>
      <c r="D125" s="127"/>
      <c r="F125" s="72" t="s">
        <v>628</v>
      </c>
      <c r="G125" s="94"/>
      <c r="H125" s="235"/>
      <c r="I125" s="72" t="s">
        <v>619</v>
      </c>
      <c r="J125" s="235"/>
      <c r="K125" s="128"/>
      <c r="L125" s="130"/>
      <c r="M125" s="130"/>
      <c r="N125" s="129"/>
      <c r="O125" s="129"/>
      <c r="P125" s="129"/>
      <c r="Q125" s="129"/>
      <c r="S125" s="94" t="s">
        <v>629</v>
      </c>
      <c r="T125" s="235"/>
      <c r="U125" s="96" t="s">
        <v>621</v>
      </c>
      <c r="V125" s="96" t="s">
        <v>622</v>
      </c>
      <c r="W125" s="96">
        <v>6</v>
      </c>
      <c r="X125" s="96">
        <v>1</v>
      </c>
      <c r="Y125" s="94"/>
      <c r="Z125" s="94"/>
      <c r="AA125" s="94"/>
      <c r="AB125" s="94"/>
      <c r="AC125" s="94" t="s">
        <v>630</v>
      </c>
    </row>
    <row r="126" spans="1:29" s="72" customFormat="1">
      <c r="A126" s="241"/>
      <c r="B126" s="71"/>
      <c r="C126" s="242"/>
      <c r="D126" s="127"/>
      <c r="F126" s="72" t="s">
        <v>631</v>
      </c>
      <c r="G126" s="94"/>
      <c r="H126" s="235"/>
      <c r="I126" s="72" t="s">
        <v>619</v>
      </c>
      <c r="J126" s="235"/>
      <c r="K126" s="128"/>
      <c r="L126" s="130"/>
      <c r="M126" s="130"/>
      <c r="N126" s="129"/>
      <c r="O126" s="129"/>
      <c r="P126" s="129"/>
      <c r="Q126" s="129"/>
      <c r="S126" s="94" t="s">
        <v>629</v>
      </c>
      <c r="T126" s="235"/>
      <c r="U126" s="96" t="s">
        <v>621</v>
      </c>
      <c r="V126" s="96" t="s">
        <v>622</v>
      </c>
      <c r="W126" s="96">
        <v>6</v>
      </c>
      <c r="X126" s="96">
        <v>1</v>
      </c>
      <c r="Y126" s="94"/>
      <c r="Z126" s="94"/>
      <c r="AA126" s="94"/>
      <c r="AB126" s="94"/>
      <c r="AC126" s="137" t="s">
        <v>630</v>
      </c>
    </row>
    <row r="127" spans="1:29" s="30" customFormat="1" ht="15.95" thickBot="1">
      <c r="A127" s="240"/>
      <c r="B127" s="71"/>
      <c r="C127" s="242"/>
      <c r="D127" s="31"/>
      <c r="F127" s="30" t="s">
        <v>632</v>
      </c>
      <c r="G127" s="32"/>
      <c r="H127" s="236"/>
      <c r="I127" s="30" t="s">
        <v>619</v>
      </c>
      <c r="J127" s="236"/>
      <c r="K127" s="52"/>
      <c r="L127" s="69"/>
      <c r="M127" s="69"/>
      <c r="N127" s="81"/>
      <c r="O127" s="81"/>
      <c r="P127" s="81"/>
      <c r="Q127" s="81"/>
      <c r="S127" s="32" t="s">
        <v>620</v>
      </c>
      <c r="T127" s="236"/>
      <c r="U127" s="93" t="s">
        <v>621</v>
      </c>
      <c r="V127" s="93" t="s">
        <v>622</v>
      </c>
      <c r="W127" s="93">
        <v>6</v>
      </c>
      <c r="X127" s="93">
        <v>1</v>
      </c>
      <c r="Y127" s="32"/>
      <c r="Z127" s="32"/>
      <c r="AA127" s="32"/>
      <c r="AB127" s="32"/>
      <c r="AC127" s="44" t="s">
        <v>633</v>
      </c>
    </row>
    <row r="128" spans="1:29" s="37" customFormat="1" ht="15.95">
      <c r="A128" s="239"/>
      <c r="B128" s="71"/>
      <c r="C128" s="242">
        <v>48</v>
      </c>
      <c r="D128" s="70" t="s">
        <v>634</v>
      </c>
      <c r="E128" s="243" t="s">
        <v>635</v>
      </c>
      <c r="F128" s="37" t="s">
        <v>636</v>
      </c>
      <c r="G128" s="45"/>
      <c r="I128" s="45"/>
      <c r="K128" s="57"/>
      <c r="L128" s="170"/>
      <c r="M128" s="170"/>
      <c r="N128" s="88"/>
      <c r="O128" s="88"/>
      <c r="P128" s="88"/>
      <c r="Q128" s="88"/>
      <c r="S128" s="45"/>
      <c r="T128" s="234" t="s">
        <v>208</v>
      </c>
      <c r="U128" s="176" t="s">
        <v>637</v>
      </c>
      <c r="V128" s="45"/>
      <c r="Y128" s="45"/>
      <c r="Z128" s="45"/>
      <c r="AA128" s="45"/>
      <c r="AB128" s="45"/>
      <c r="AC128" s="45"/>
    </row>
    <row r="129" spans="1:29" s="72" customFormat="1" ht="17.100000000000001" thickBot="1">
      <c r="A129" s="240"/>
      <c r="B129" s="71"/>
      <c r="C129" s="242"/>
      <c r="D129" s="155" t="s">
        <v>634</v>
      </c>
      <c r="E129" s="244"/>
      <c r="F129" s="72">
        <v>2604</v>
      </c>
      <c r="G129" s="94"/>
      <c r="I129" s="94"/>
      <c r="K129" s="138"/>
      <c r="L129" s="130"/>
      <c r="M129" s="130"/>
      <c r="N129" s="129"/>
      <c r="O129" s="129"/>
      <c r="P129" s="129"/>
      <c r="Q129" s="129"/>
      <c r="S129" s="94"/>
      <c r="T129" s="236"/>
      <c r="U129" s="94"/>
      <c r="V129" s="94"/>
      <c r="Y129" s="94"/>
      <c r="Z129" s="94"/>
      <c r="AA129" s="94"/>
      <c r="AB129" s="94"/>
      <c r="AC129" s="94"/>
    </row>
    <row r="130" spans="1:29" s="11" customFormat="1" ht="15" customHeight="1">
      <c r="A130" s="239"/>
      <c r="B130" s="71"/>
      <c r="C130" s="242">
        <v>49</v>
      </c>
      <c r="D130" s="7" t="s">
        <v>638</v>
      </c>
      <c r="F130" s="11" t="s">
        <v>639</v>
      </c>
      <c r="G130" s="12" t="s">
        <v>207</v>
      </c>
      <c r="H130" s="11" t="s">
        <v>207</v>
      </c>
      <c r="I130" s="12" t="s">
        <v>207</v>
      </c>
      <c r="J130" s="11" t="s">
        <v>217</v>
      </c>
      <c r="K130" s="56" t="s">
        <v>207</v>
      </c>
      <c r="L130" s="60" t="s">
        <v>207</v>
      </c>
      <c r="M130" s="60" t="s">
        <v>207</v>
      </c>
      <c r="N130" s="76" t="s">
        <v>207</v>
      </c>
      <c r="O130" s="76" t="s">
        <v>207</v>
      </c>
      <c r="P130" s="76" t="s">
        <v>207</v>
      </c>
      <c r="Q130" s="76" t="s">
        <v>207</v>
      </c>
      <c r="R130" s="11" t="s">
        <v>207</v>
      </c>
      <c r="S130" s="12" t="s">
        <v>207</v>
      </c>
      <c r="T130" s="12" t="s">
        <v>640</v>
      </c>
      <c r="U130" s="12"/>
      <c r="V130" s="12"/>
      <c r="Y130" s="12"/>
      <c r="Z130" s="12"/>
      <c r="AA130" s="12"/>
      <c r="AB130" s="12"/>
      <c r="AC130" s="12" t="s">
        <v>268</v>
      </c>
    </row>
    <row r="131" spans="1:29" s="72" customFormat="1" ht="15" customHeight="1">
      <c r="A131" s="241"/>
      <c r="B131" s="71"/>
      <c r="C131" s="242"/>
      <c r="D131" s="154" t="s">
        <v>638</v>
      </c>
      <c r="F131" s="72" t="s">
        <v>641</v>
      </c>
      <c r="G131" s="94"/>
      <c r="I131" s="94"/>
      <c r="K131" s="138"/>
      <c r="L131" s="130"/>
      <c r="M131" s="130"/>
      <c r="N131" s="129"/>
      <c r="O131" s="129"/>
      <c r="P131" s="129"/>
      <c r="Q131" s="129"/>
      <c r="S131" s="94"/>
      <c r="T131" s="72" t="s">
        <v>642</v>
      </c>
      <c r="U131" s="94"/>
      <c r="V131" s="94"/>
      <c r="Y131" s="94"/>
      <c r="Z131" s="94"/>
      <c r="AA131" s="94"/>
      <c r="AB131" s="94"/>
      <c r="AC131" s="94" t="s">
        <v>268</v>
      </c>
    </row>
    <row r="132" spans="1:29" s="30" customFormat="1" ht="15.75" customHeight="1" thickBot="1">
      <c r="A132" s="240"/>
      <c r="B132" s="71"/>
      <c r="C132" s="242"/>
      <c r="D132" s="48" t="s">
        <v>638</v>
      </c>
      <c r="F132" s="30" t="s">
        <v>643</v>
      </c>
      <c r="G132" s="32"/>
      <c r="I132" s="32"/>
      <c r="K132" s="58"/>
      <c r="L132" s="69"/>
      <c r="M132" s="69"/>
      <c r="N132" s="81"/>
      <c r="O132" s="81"/>
      <c r="P132" s="81"/>
      <c r="Q132" s="81"/>
      <c r="S132" s="32"/>
      <c r="T132" s="30" t="s">
        <v>644</v>
      </c>
      <c r="U132" s="32"/>
      <c r="V132" s="32"/>
      <c r="Y132" s="32"/>
      <c r="Z132" s="32"/>
      <c r="AA132" s="32"/>
      <c r="AB132" s="32"/>
      <c r="AC132" s="32" t="s">
        <v>268</v>
      </c>
    </row>
    <row r="133" spans="1:29" s="37" customFormat="1" ht="15.95">
      <c r="A133" s="239"/>
      <c r="B133" s="71"/>
      <c r="C133" s="242">
        <v>50</v>
      </c>
      <c r="D133" s="159" t="s">
        <v>645</v>
      </c>
      <c r="G133" s="46" t="s">
        <v>646</v>
      </c>
      <c r="I133" s="45"/>
      <c r="K133" s="57"/>
      <c r="L133" s="170"/>
      <c r="M133" s="170"/>
      <c r="N133" s="88"/>
      <c r="O133" s="88"/>
      <c r="P133" s="88"/>
      <c r="Q133" s="88"/>
      <c r="S133" s="45"/>
      <c r="T133" s="234" t="s">
        <v>647</v>
      </c>
      <c r="U133" s="45"/>
      <c r="V133" s="45"/>
      <c r="Y133" s="45"/>
      <c r="Z133" s="45"/>
      <c r="AA133" s="45"/>
      <c r="AB133" s="45"/>
      <c r="AC133" s="45"/>
    </row>
    <row r="134" spans="1:29" s="72" customFormat="1">
      <c r="A134" s="241"/>
      <c r="B134" s="71"/>
      <c r="C134" s="242"/>
      <c r="D134" s="127">
        <v>120328</v>
      </c>
      <c r="G134" s="137"/>
      <c r="I134" s="94"/>
      <c r="K134" s="138"/>
      <c r="L134" s="130"/>
      <c r="M134" s="130"/>
      <c r="N134" s="129"/>
      <c r="O134" s="129"/>
      <c r="P134" s="129"/>
      <c r="Q134" s="129"/>
      <c r="S134" s="94"/>
      <c r="T134" s="235"/>
      <c r="U134" s="94"/>
      <c r="V134" s="94"/>
      <c r="Y134" s="94"/>
      <c r="Z134" s="94"/>
      <c r="AA134" s="94"/>
      <c r="AB134" s="94"/>
      <c r="AC134" s="94"/>
    </row>
    <row r="135" spans="1:29" s="72" customFormat="1">
      <c r="A135" s="241"/>
      <c r="B135" s="71"/>
      <c r="C135" s="242"/>
      <c r="D135" s="127">
        <v>120329</v>
      </c>
      <c r="G135" s="137"/>
      <c r="I135" s="94"/>
      <c r="K135" s="138"/>
      <c r="L135" s="130"/>
      <c r="M135" s="130"/>
      <c r="N135" s="129"/>
      <c r="O135" s="129"/>
      <c r="P135" s="129"/>
      <c r="Q135" s="129"/>
      <c r="S135" s="94"/>
      <c r="T135" s="235"/>
      <c r="U135" s="94"/>
      <c r="V135" s="94"/>
      <c r="Y135" s="94"/>
      <c r="Z135" s="94"/>
      <c r="AA135" s="94"/>
      <c r="AB135" s="94"/>
      <c r="AC135" s="94"/>
    </row>
    <row r="136" spans="1:29" s="72" customFormat="1">
      <c r="A136" s="241"/>
      <c r="B136" s="71"/>
      <c r="C136" s="242"/>
      <c r="D136" s="127">
        <v>120332</v>
      </c>
      <c r="G136" s="137"/>
      <c r="I136" s="94"/>
      <c r="K136" s="138"/>
      <c r="L136" s="130"/>
      <c r="M136" s="130"/>
      <c r="N136" s="129"/>
      <c r="O136" s="129"/>
      <c r="P136" s="129"/>
      <c r="Q136" s="129"/>
      <c r="S136" s="94"/>
      <c r="T136" s="235"/>
      <c r="U136" s="94"/>
      <c r="V136" s="94"/>
      <c r="Y136" s="94"/>
      <c r="Z136" s="94"/>
      <c r="AA136" s="94"/>
      <c r="AB136" s="94"/>
      <c r="AC136" s="94"/>
    </row>
    <row r="137" spans="1:29" s="72" customFormat="1">
      <c r="A137" s="241"/>
      <c r="B137" s="71"/>
      <c r="C137" s="242"/>
      <c r="D137" s="127">
        <v>142244</v>
      </c>
      <c r="G137" s="137"/>
      <c r="I137" s="94"/>
      <c r="K137" s="138"/>
      <c r="L137" s="130"/>
      <c r="M137" s="130"/>
      <c r="N137" s="129"/>
      <c r="O137" s="129"/>
      <c r="P137" s="129"/>
      <c r="Q137" s="129"/>
      <c r="S137" s="94"/>
      <c r="T137" s="235"/>
      <c r="U137" s="94"/>
      <c r="V137" s="94"/>
      <c r="Y137" s="94"/>
      <c r="Z137" s="94"/>
      <c r="AA137" s="94"/>
      <c r="AB137" s="94"/>
      <c r="AC137" s="94"/>
    </row>
    <row r="138" spans="1:29" s="72" customFormat="1" ht="15.95">
      <c r="A138" s="241"/>
      <c r="B138" s="71"/>
      <c r="C138" s="242"/>
      <c r="D138" s="127" t="s">
        <v>648</v>
      </c>
      <c r="G138" s="137" t="s">
        <v>649</v>
      </c>
      <c r="I138" s="94"/>
      <c r="K138" s="138"/>
      <c r="L138" s="130"/>
      <c r="M138" s="130"/>
      <c r="N138" s="129"/>
      <c r="O138" s="129"/>
      <c r="P138" s="129"/>
      <c r="Q138" s="129"/>
      <c r="S138" s="94"/>
      <c r="T138" s="235"/>
      <c r="U138" s="94"/>
      <c r="V138" s="94"/>
      <c r="Y138" s="94"/>
      <c r="Z138" s="94"/>
      <c r="AA138" s="94"/>
      <c r="AB138" s="94"/>
      <c r="AC138" s="94" t="s">
        <v>650</v>
      </c>
    </row>
    <row r="139" spans="1:29" s="72" customFormat="1" ht="15.95">
      <c r="A139" s="241"/>
      <c r="B139" s="71"/>
      <c r="C139" s="242"/>
      <c r="D139" s="127" t="s">
        <v>651</v>
      </c>
      <c r="G139" s="137" t="s">
        <v>649</v>
      </c>
      <c r="I139" s="94"/>
      <c r="K139" s="138"/>
      <c r="L139" s="130"/>
      <c r="M139" s="130"/>
      <c r="N139" s="129"/>
      <c r="O139" s="129"/>
      <c r="P139" s="129"/>
      <c r="Q139" s="129"/>
      <c r="S139" s="94"/>
      <c r="T139" s="235"/>
      <c r="U139" s="94"/>
      <c r="V139" s="94"/>
      <c r="Y139" s="94"/>
      <c r="Z139" s="94"/>
      <c r="AA139" s="94"/>
      <c r="AB139" s="94"/>
      <c r="AC139" s="94" t="s">
        <v>650</v>
      </c>
    </row>
    <row r="140" spans="1:29" s="72" customFormat="1" ht="15.95">
      <c r="A140" s="241"/>
      <c r="B140" s="71"/>
      <c r="C140" s="242"/>
      <c r="D140" s="127" t="s">
        <v>652</v>
      </c>
      <c r="G140" s="137" t="s">
        <v>649</v>
      </c>
      <c r="I140" s="94"/>
      <c r="K140" s="138"/>
      <c r="L140" s="130"/>
      <c r="M140" s="130"/>
      <c r="N140" s="129"/>
      <c r="O140" s="129"/>
      <c r="P140" s="129"/>
      <c r="Q140" s="129"/>
      <c r="S140" s="94"/>
      <c r="T140" s="235"/>
      <c r="U140" s="94"/>
      <c r="V140" s="94"/>
      <c r="Y140" s="94"/>
      <c r="Z140" s="94"/>
      <c r="AA140" s="94"/>
      <c r="AB140" s="94"/>
      <c r="AC140" s="94" t="s">
        <v>650</v>
      </c>
    </row>
    <row r="141" spans="1:29" s="72" customFormat="1" ht="15.95">
      <c r="A141" s="241"/>
      <c r="B141" s="71"/>
      <c r="C141" s="242"/>
      <c r="D141" s="127" t="s">
        <v>653</v>
      </c>
      <c r="G141" s="137" t="s">
        <v>649</v>
      </c>
      <c r="I141" s="94"/>
      <c r="K141" s="138"/>
      <c r="L141" s="130"/>
      <c r="M141" s="130"/>
      <c r="N141" s="129"/>
      <c r="O141" s="129"/>
      <c r="P141" s="129"/>
      <c r="Q141" s="129"/>
      <c r="S141" s="94"/>
      <c r="T141" s="235"/>
      <c r="U141" s="94"/>
      <c r="V141" s="94"/>
      <c r="Y141" s="94"/>
      <c r="Z141" s="94"/>
      <c r="AA141" s="94"/>
      <c r="AB141" s="94"/>
      <c r="AC141" s="94" t="s">
        <v>650</v>
      </c>
    </row>
    <row r="142" spans="1:29" s="72" customFormat="1" ht="15.95">
      <c r="A142" s="241"/>
      <c r="B142" s="71"/>
      <c r="C142" s="242"/>
      <c r="D142" s="127" t="s">
        <v>654</v>
      </c>
      <c r="F142" s="72" t="s">
        <v>655</v>
      </c>
      <c r="G142" s="137" t="s">
        <v>656</v>
      </c>
      <c r="I142" s="94"/>
      <c r="K142" s="138"/>
      <c r="L142" s="130"/>
      <c r="M142" s="130"/>
      <c r="N142" s="129"/>
      <c r="O142" s="129"/>
      <c r="P142" s="129"/>
      <c r="Q142" s="129"/>
      <c r="S142" s="94"/>
      <c r="T142" s="235"/>
      <c r="U142" s="94"/>
      <c r="V142" s="94"/>
      <c r="Y142" s="94"/>
      <c r="Z142" s="94"/>
      <c r="AA142" s="94"/>
      <c r="AB142" s="94"/>
      <c r="AC142" s="94"/>
    </row>
    <row r="143" spans="1:29" s="72" customFormat="1" ht="15.95">
      <c r="A143" s="241"/>
      <c r="B143" s="71"/>
      <c r="C143" s="242"/>
      <c r="D143" s="127" t="s">
        <v>657</v>
      </c>
      <c r="F143" s="72" t="s">
        <v>658</v>
      </c>
      <c r="G143" s="137" t="s">
        <v>656</v>
      </c>
      <c r="I143" s="94"/>
      <c r="K143" s="138"/>
      <c r="L143" s="130"/>
      <c r="M143" s="130"/>
      <c r="N143" s="129"/>
      <c r="O143" s="129"/>
      <c r="P143" s="129"/>
      <c r="Q143" s="129"/>
      <c r="S143" s="94"/>
      <c r="T143" s="235"/>
      <c r="U143" s="94"/>
      <c r="V143" s="94"/>
      <c r="Y143" s="94"/>
      <c r="Z143" s="94"/>
      <c r="AA143" s="94"/>
      <c r="AB143" s="94"/>
      <c r="AC143" s="94"/>
    </row>
    <row r="144" spans="1:29" s="72" customFormat="1" ht="17.100000000000001" thickBot="1">
      <c r="A144" s="240"/>
      <c r="B144" s="71"/>
      <c r="C144" s="242"/>
      <c r="D144" s="127" t="s">
        <v>659</v>
      </c>
      <c r="F144" s="72" t="s">
        <v>660</v>
      </c>
      <c r="G144" s="137" t="s">
        <v>656</v>
      </c>
      <c r="I144" s="94"/>
      <c r="K144" s="138"/>
      <c r="L144" s="130"/>
      <c r="M144" s="130"/>
      <c r="N144" s="129"/>
      <c r="O144" s="129"/>
      <c r="P144" s="129"/>
      <c r="Q144" s="129"/>
      <c r="S144" s="94"/>
      <c r="T144" s="235"/>
      <c r="U144" s="94"/>
      <c r="V144" s="94"/>
      <c r="Y144" s="94"/>
      <c r="Z144" s="94"/>
      <c r="AA144" s="94"/>
      <c r="AB144" s="94"/>
      <c r="AC144" s="94"/>
    </row>
    <row r="145" spans="1:29" s="37" customFormat="1" ht="15.95">
      <c r="A145" s="239"/>
      <c r="B145" s="71"/>
      <c r="C145" s="242">
        <v>51</v>
      </c>
      <c r="D145" s="7" t="s">
        <v>661</v>
      </c>
      <c r="F145" s="37" t="s">
        <v>662</v>
      </c>
      <c r="G145" s="45"/>
      <c r="I145" s="45"/>
      <c r="K145" s="57"/>
      <c r="L145" s="170"/>
      <c r="M145" s="170"/>
      <c r="N145" s="88"/>
      <c r="O145" s="88"/>
      <c r="P145" s="88"/>
      <c r="Q145" s="88"/>
      <c r="S145" s="45"/>
      <c r="T145" s="51"/>
      <c r="U145" s="45"/>
      <c r="V145" s="45"/>
      <c r="Y145" s="45"/>
      <c r="Z145" s="45"/>
      <c r="AA145" s="45"/>
      <c r="AB145" s="45"/>
      <c r="AC145" s="45"/>
    </row>
    <row r="146" spans="1:29" s="30" customFormat="1" ht="17.100000000000001" thickBot="1">
      <c r="A146" s="240"/>
      <c r="B146" s="71"/>
      <c r="C146" s="242"/>
      <c r="D146" s="48" t="s">
        <v>661</v>
      </c>
      <c r="F146" s="30" t="s">
        <v>663</v>
      </c>
      <c r="G146" s="32"/>
      <c r="I146" s="32"/>
      <c r="K146" s="58"/>
      <c r="L146" s="69"/>
      <c r="M146" s="69"/>
      <c r="N146" s="81"/>
      <c r="O146" s="81"/>
      <c r="P146" s="81"/>
      <c r="Q146" s="81"/>
      <c r="S146" s="32"/>
      <c r="T146" s="30" t="s">
        <v>208</v>
      </c>
      <c r="U146" s="32"/>
      <c r="V146" s="32"/>
      <c r="Y146" s="32"/>
      <c r="Z146" s="32"/>
      <c r="AA146" s="32"/>
      <c r="AB146" s="32"/>
      <c r="AC146" s="32" t="s">
        <v>259</v>
      </c>
    </row>
    <row r="149" spans="1:29">
      <c r="K149" s="99" t="s">
        <v>593</v>
      </c>
    </row>
    <row r="151" spans="1:29" ht="15.95" thickBot="1"/>
    <row r="152" spans="1:29" s="28" customFormat="1">
      <c r="A152" s="71"/>
      <c r="B152" s="71"/>
      <c r="C152" s="71" t="s">
        <v>664</v>
      </c>
      <c r="D152" s="161"/>
      <c r="E152" s="28" t="s">
        <v>665</v>
      </c>
      <c r="F152" s="28" t="s">
        <v>666</v>
      </c>
      <c r="G152" s="142" t="s">
        <v>667</v>
      </c>
      <c r="H152" s="28" t="s">
        <v>668</v>
      </c>
      <c r="I152" s="41" t="s">
        <v>669</v>
      </c>
      <c r="J152" s="28" t="s">
        <v>277</v>
      </c>
      <c r="K152" s="143">
        <v>184818</v>
      </c>
      <c r="L152" s="171">
        <v>126729241</v>
      </c>
      <c r="M152" s="171">
        <v>126914058</v>
      </c>
      <c r="N152" s="85">
        <v>126065527</v>
      </c>
      <c r="O152" s="85">
        <v>126065621</v>
      </c>
      <c r="P152" s="85">
        <v>126250346</v>
      </c>
      <c r="Q152" s="85">
        <v>126250590</v>
      </c>
      <c r="R152" s="28">
        <v>184726</v>
      </c>
      <c r="S152" s="41" t="s">
        <v>670</v>
      </c>
      <c r="T152" s="28" t="s">
        <v>208</v>
      </c>
      <c r="U152" s="41"/>
      <c r="V152" s="41"/>
      <c r="Y152" s="41"/>
      <c r="Z152" s="41" t="s">
        <v>248</v>
      </c>
      <c r="AA152" s="41">
        <v>417</v>
      </c>
      <c r="AB152" s="41">
        <v>1.87</v>
      </c>
      <c r="AC152" s="41" t="s">
        <v>671</v>
      </c>
    </row>
    <row r="153" spans="1:29" s="30" customFormat="1" ht="15.95" thickBot="1">
      <c r="A153" s="71"/>
      <c r="B153" s="71"/>
      <c r="C153" s="71"/>
      <c r="D153" s="31"/>
      <c r="E153" s="30" t="s">
        <v>672</v>
      </c>
      <c r="G153" s="44" t="s">
        <v>667</v>
      </c>
      <c r="I153" s="32"/>
      <c r="K153" s="58"/>
      <c r="L153" s="69"/>
      <c r="M153" s="69"/>
      <c r="N153" s="81"/>
      <c r="O153" s="81"/>
      <c r="P153" s="81"/>
      <c r="Q153" s="81"/>
      <c r="S153" s="32"/>
      <c r="T153" s="50"/>
      <c r="U153" s="32"/>
      <c r="V153" s="32"/>
      <c r="Y153" s="32"/>
      <c r="Z153" s="32" t="s">
        <v>248</v>
      </c>
      <c r="AA153" s="32"/>
      <c r="AB153" s="32"/>
      <c r="AC153" s="32"/>
    </row>
    <row r="154" spans="1:29" s="21" customFormat="1" ht="15.95" thickBot="1">
      <c r="A154" s="71"/>
      <c r="B154" s="71"/>
      <c r="C154" s="71"/>
      <c r="D154" s="24"/>
      <c r="E154" s="21" t="s">
        <v>673</v>
      </c>
      <c r="F154" s="21" t="s">
        <v>396</v>
      </c>
      <c r="G154" s="10"/>
      <c r="H154" s="21" t="s">
        <v>668</v>
      </c>
      <c r="I154" s="22" t="s">
        <v>386</v>
      </c>
      <c r="J154" s="21" t="s">
        <v>204</v>
      </c>
      <c r="K154" s="54">
        <v>340784</v>
      </c>
      <c r="L154" s="63">
        <v>126667591</v>
      </c>
      <c r="M154" s="63">
        <v>127008374</v>
      </c>
      <c r="N154" s="79">
        <v>126002575</v>
      </c>
      <c r="O154" s="79">
        <v>126003883</v>
      </c>
      <c r="P154" s="79">
        <v>126340122</v>
      </c>
      <c r="Q154" s="79">
        <v>126340343</v>
      </c>
      <c r="R154" s="21">
        <v>336240</v>
      </c>
      <c r="S154" s="22"/>
      <c r="T154" s="21" t="s">
        <v>208</v>
      </c>
      <c r="U154" s="22"/>
      <c r="V154" s="22"/>
      <c r="Y154" s="22"/>
      <c r="Z154" s="22" t="s">
        <v>252</v>
      </c>
      <c r="AA154" s="22">
        <v>275.10000000000002</v>
      </c>
      <c r="AB154" s="22">
        <v>1.81</v>
      </c>
      <c r="AC154" s="12" t="s">
        <v>671</v>
      </c>
    </row>
    <row r="155" spans="1:29">
      <c r="C155" s="75"/>
      <c r="D155" s="71" t="s">
        <v>674</v>
      </c>
      <c r="F155" s="113"/>
      <c r="G155" s="71" t="s">
        <v>216</v>
      </c>
      <c r="H155" s="98" t="s">
        <v>207</v>
      </c>
      <c r="I155" s="71" t="s">
        <v>217</v>
      </c>
      <c r="J155" s="135" t="s">
        <v>207</v>
      </c>
      <c r="K155" s="100" t="s">
        <v>207</v>
      </c>
      <c r="L155" s="100" t="s">
        <v>207</v>
      </c>
      <c r="M155" s="101" t="s">
        <v>207</v>
      </c>
      <c r="N155" s="101" t="s">
        <v>207</v>
      </c>
      <c r="O155" s="101" t="s">
        <v>207</v>
      </c>
      <c r="P155" s="101" t="s">
        <v>207</v>
      </c>
      <c r="Q155" s="71" t="s">
        <v>207</v>
      </c>
      <c r="R155" s="98" t="s">
        <v>207</v>
      </c>
      <c r="S155" s="71"/>
      <c r="T155" s="98"/>
      <c r="V155" s="71"/>
      <c r="X155" s="98"/>
      <c r="Z155" s="71"/>
      <c r="AA155" s="71"/>
      <c r="AB155" s="71"/>
      <c r="AC155" s="71"/>
    </row>
    <row r="160" spans="1:29" ht="15.95" thickBot="1"/>
    <row r="161" spans="1:29" s="34" customFormat="1" ht="17.100000000000001" thickBot="1">
      <c r="A161" s="71"/>
      <c r="B161" s="71"/>
      <c r="C161" s="71"/>
      <c r="D161" s="35" t="s">
        <v>675</v>
      </c>
      <c r="F161" s="35" t="s">
        <v>676</v>
      </c>
      <c r="G161" s="36" t="s">
        <v>677</v>
      </c>
      <c r="I161" s="36"/>
      <c r="K161" s="53"/>
      <c r="L161" s="64"/>
      <c r="M161" s="64"/>
      <c r="N161" s="83"/>
      <c r="O161" s="83"/>
      <c r="P161" s="83"/>
      <c r="Q161" s="83"/>
      <c r="S161" s="36"/>
      <c r="T161" s="49"/>
      <c r="U161" s="36"/>
      <c r="V161" s="36"/>
      <c r="Y161" s="36"/>
      <c r="Z161" s="36"/>
      <c r="AA161" s="36"/>
      <c r="AB161" s="36"/>
      <c r="AC161" s="36"/>
    </row>
    <row r="162" spans="1:29" s="72" customFormat="1" ht="15.95">
      <c r="A162" s="71"/>
      <c r="B162" s="71"/>
      <c r="C162" s="90"/>
      <c r="D162" s="127" t="s">
        <v>678</v>
      </c>
      <c r="F162" s="72" t="s">
        <v>677</v>
      </c>
      <c r="G162" s="237" t="s">
        <v>679</v>
      </c>
      <c r="I162" s="94"/>
      <c r="K162" s="138"/>
      <c r="L162" s="130"/>
      <c r="M162" s="130"/>
      <c r="N162" s="129"/>
      <c r="O162" s="129"/>
      <c r="P162" s="129"/>
      <c r="Q162" s="129"/>
      <c r="S162" s="94"/>
      <c r="T162" s="95"/>
      <c r="U162" s="94"/>
      <c r="V162" s="94"/>
      <c r="Y162" s="94"/>
      <c r="Z162" s="94"/>
      <c r="AA162" s="94"/>
      <c r="AB162" s="94"/>
      <c r="AC162" s="94"/>
    </row>
    <row r="163" spans="1:29">
      <c r="C163" s="90"/>
      <c r="D163" s="71"/>
      <c r="E163" s="71" t="s">
        <v>372</v>
      </c>
      <c r="F163" s="72"/>
      <c r="G163" s="237"/>
      <c r="H163" s="98" t="s">
        <v>207</v>
      </c>
      <c r="I163" s="71" t="s">
        <v>680</v>
      </c>
      <c r="J163" s="135" t="s">
        <v>207</v>
      </c>
      <c r="K163" s="100" t="s">
        <v>207</v>
      </c>
      <c r="L163" s="100" t="s">
        <v>207</v>
      </c>
      <c r="M163" s="101" t="s">
        <v>207</v>
      </c>
      <c r="N163" s="101" t="s">
        <v>207</v>
      </c>
      <c r="O163" s="101" t="s">
        <v>207</v>
      </c>
      <c r="P163" s="101" t="s">
        <v>207</v>
      </c>
      <c r="Q163" s="71" t="s">
        <v>207</v>
      </c>
      <c r="R163" s="98" t="s">
        <v>207</v>
      </c>
      <c r="S163" s="95"/>
      <c r="T163" s="98"/>
      <c r="V163" s="71"/>
      <c r="X163" s="98"/>
      <c r="Z163" s="71"/>
      <c r="AA163" s="71"/>
      <c r="AB163" s="71"/>
      <c r="AC163" s="71"/>
    </row>
    <row r="164" spans="1:29">
      <c r="C164" s="90"/>
      <c r="D164" s="71"/>
      <c r="E164" s="71" t="s">
        <v>666</v>
      </c>
      <c r="F164" s="72"/>
      <c r="G164" s="237"/>
      <c r="H164" s="98" t="s">
        <v>207</v>
      </c>
      <c r="I164" s="71" t="s">
        <v>680</v>
      </c>
      <c r="J164" s="135" t="s">
        <v>207</v>
      </c>
      <c r="K164" s="100" t="s">
        <v>207</v>
      </c>
      <c r="L164" s="100" t="s">
        <v>207</v>
      </c>
      <c r="M164" s="101" t="s">
        <v>207</v>
      </c>
      <c r="N164" s="101" t="s">
        <v>207</v>
      </c>
      <c r="O164" s="101" t="s">
        <v>207</v>
      </c>
      <c r="P164" s="101" t="s">
        <v>207</v>
      </c>
      <c r="Q164" s="71" t="s">
        <v>207</v>
      </c>
      <c r="R164" s="98" t="s">
        <v>207</v>
      </c>
      <c r="S164" s="95"/>
      <c r="T164" s="98"/>
      <c r="V164" s="71"/>
      <c r="X164" s="98"/>
      <c r="Z164" s="71"/>
      <c r="AA164" s="71"/>
      <c r="AB164" s="71"/>
      <c r="AC164" s="71"/>
    </row>
    <row r="165" spans="1:29" s="30" customFormat="1" ht="17.100000000000001" thickBot="1">
      <c r="A165" s="71"/>
      <c r="B165" s="71"/>
      <c r="C165" s="90"/>
      <c r="D165" s="31" t="s">
        <v>681</v>
      </c>
      <c r="F165" s="30" t="s">
        <v>589</v>
      </c>
      <c r="G165" s="238"/>
      <c r="H165" s="33"/>
      <c r="I165" s="32"/>
      <c r="K165" s="58"/>
      <c r="L165" s="69"/>
      <c r="M165" s="69"/>
      <c r="N165" s="81"/>
      <c r="O165" s="81"/>
      <c r="P165" s="81"/>
      <c r="Q165" s="81"/>
      <c r="S165" s="32"/>
      <c r="T165" s="50"/>
      <c r="U165" s="32"/>
      <c r="V165" s="32"/>
      <c r="Y165" s="32"/>
      <c r="Z165" s="32"/>
      <c r="AA165" s="32"/>
      <c r="AB165" s="32"/>
      <c r="AC165" s="32"/>
    </row>
    <row r="166" spans="1:29" s="72" customFormat="1" ht="15.95" thickBot="1">
      <c r="A166" s="71"/>
      <c r="B166" s="71"/>
      <c r="C166" s="75"/>
      <c r="E166" s="72" t="s">
        <v>682</v>
      </c>
      <c r="F166" s="30" t="s">
        <v>589</v>
      </c>
      <c r="G166" s="137"/>
      <c r="I166" s="94"/>
      <c r="K166" s="138"/>
      <c r="L166" s="130"/>
      <c r="M166" s="130"/>
      <c r="N166" s="129"/>
      <c r="O166" s="129"/>
      <c r="P166" s="129"/>
      <c r="Q166" s="129"/>
      <c r="S166" s="94"/>
      <c r="T166" s="95"/>
      <c r="U166" s="94"/>
      <c r="V166" s="94"/>
      <c r="Y166" s="94"/>
      <c r="Z166" s="94" t="s">
        <v>252</v>
      </c>
      <c r="AA166" s="94">
        <v>49.3</v>
      </c>
      <c r="AB166" s="202">
        <v>1.57</v>
      </c>
      <c r="AC166" s="94" t="s">
        <v>683</v>
      </c>
    </row>
    <row r="167" spans="1:29" s="37" customFormat="1" ht="15.95" thickBot="1">
      <c r="A167" s="71"/>
      <c r="B167" s="71"/>
      <c r="C167" s="71"/>
      <c r="D167" s="159"/>
      <c r="E167" s="37" t="s">
        <v>684</v>
      </c>
      <c r="F167" s="37" t="s">
        <v>685</v>
      </c>
      <c r="G167" s="46" t="s">
        <v>686</v>
      </c>
      <c r="K167" s="57"/>
      <c r="L167" s="170"/>
      <c r="M167" s="170"/>
      <c r="N167" s="88"/>
      <c r="O167" s="88"/>
      <c r="P167" s="88"/>
      <c r="Q167" s="88"/>
      <c r="S167" s="45"/>
      <c r="T167" s="51"/>
      <c r="U167" s="45"/>
      <c r="V167" s="45"/>
      <c r="Y167" s="45"/>
      <c r="Z167" s="45" t="s">
        <v>252</v>
      </c>
      <c r="AA167" s="45">
        <v>105.5</v>
      </c>
      <c r="AB167" s="203">
        <v>1.38</v>
      </c>
      <c r="AC167" s="45" t="s">
        <v>687</v>
      </c>
    </row>
    <row r="168" spans="1:29" s="34" customFormat="1" ht="15.95" thickBot="1">
      <c r="A168" s="71"/>
      <c r="B168" s="71"/>
      <c r="C168" s="71"/>
      <c r="D168" s="35">
        <v>132799</v>
      </c>
      <c r="G168" s="140"/>
      <c r="K168" s="141"/>
      <c r="L168" s="64"/>
      <c r="M168" s="64"/>
      <c r="N168" s="83"/>
      <c r="O168" s="83"/>
      <c r="P168" s="83"/>
      <c r="Q168" s="83"/>
      <c r="S168" s="36"/>
      <c r="T168" s="49"/>
      <c r="U168" s="36"/>
      <c r="V168" s="36"/>
      <c r="W168" s="34" t="s">
        <v>208</v>
      </c>
      <c r="Y168" s="36"/>
      <c r="Z168" s="36"/>
      <c r="AA168" s="36"/>
      <c r="AB168" s="36"/>
      <c r="AC168" s="36"/>
    </row>
    <row r="169" spans="1:29" s="26" customFormat="1" ht="17.100000000000001" thickBot="1">
      <c r="A169" s="71"/>
      <c r="B169" s="71"/>
      <c r="C169" s="71"/>
      <c r="D169" s="162" t="s">
        <v>688</v>
      </c>
      <c r="F169" s="26" t="s">
        <v>689</v>
      </c>
      <c r="G169" s="42"/>
      <c r="H169" s="26" t="s">
        <v>202</v>
      </c>
      <c r="I169" s="27"/>
      <c r="J169" s="26" t="s">
        <v>277</v>
      </c>
      <c r="K169" s="139"/>
      <c r="L169" s="144" t="s">
        <v>690</v>
      </c>
      <c r="M169" s="144"/>
      <c r="N169" s="86" t="s">
        <v>691</v>
      </c>
      <c r="O169" s="86" t="s">
        <v>692</v>
      </c>
      <c r="P169" s="86">
        <v>126344410</v>
      </c>
      <c r="Q169" s="86">
        <v>126344486</v>
      </c>
      <c r="S169" s="27" t="s">
        <v>693</v>
      </c>
      <c r="T169" s="49"/>
      <c r="U169" s="27"/>
      <c r="V169" s="27"/>
      <c r="W169" s="26" t="s">
        <v>208</v>
      </c>
      <c r="Y169" s="27"/>
      <c r="Z169" s="27"/>
      <c r="AA169" s="27"/>
      <c r="AB169" s="27"/>
      <c r="AC169" s="27" t="s">
        <v>259</v>
      </c>
    </row>
    <row r="170" spans="1:29" s="26" customFormat="1" ht="17.100000000000001" thickBot="1">
      <c r="A170" s="71"/>
      <c r="B170" s="71"/>
      <c r="C170" s="71"/>
      <c r="D170" s="162" t="s">
        <v>694</v>
      </c>
      <c r="F170" s="26" t="s">
        <v>695</v>
      </c>
      <c r="G170" s="42" t="s">
        <v>696</v>
      </c>
      <c r="I170" s="27"/>
      <c r="J170" s="26" t="s">
        <v>277</v>
      </c>
      <c r="K170" s="139"/>
      <c r="L170" s="144"/>
      <c r="M170" s="144"/>
      <c r="N170" s="86">
        <v>125944157</v>
      </c>
      <c r="O170" s="86">
        <v>125944246</v>
      </c>
      <c r="P170" s="86">
        <v>126250894</v>
      </c>
      <c r="Q170" s="86">
        <v>126250984</v>
      </c>
      <c r="R170" s="26">
        <v>306649</v>
      </c>
      <c r="S170" s="27"/>
      <c r="T170" s="49"/>
      <c r="U170" s="27"/>
      <c r="V170" s="27"/>
      <c r="Y170" s="27"/>
      <c r="Z170" s="27"/>
      <c r="AA170" s="27"/>
      <c r="AB170" s="27"/>
      <c r="AC170" s="27"/>
    </row>
    <row r="171" spans="1:29" s="21" customFormat="1" ht="15.95" thickBot="1">
      <c r="A171" s="71"/>
      <c r="B171" s="71"/>
      <c r="C171" s="71"/>
      <c r="D171" s="24"/>
      <c r="G171" s="22"/>
      <c r="H171" s="21" t="s">
        <v>618</v>
      </c>
      <c r="I171" s="21" t="s">
        <v>380</v>
      </c>
      <c r="J171" s="21" t="s">
        <v>204</v>
      </c>
      <c r="K171" s="5"/>
      <c r="L171" s="63"/>
      <c r="M171" s="63"/>
      <c r="N171" s="79" t="s">
        <v>697</v>
      </c>
      <c r="O171" s="79" t="s">
        <v>698</v>
      </c>
      <c r="P171" s="79" t="s">
        <v>699</v>
      </c>
      <c r="Q171" s="79"/>
      <c r="S171" s="22"/>
      <c r="T171" s="21" t="s">
        <v>700</v>
      </c>
      <c r="U171" s="22" t="s">
        <v>701</v>
      </c>
      <c r="V171" s="22" t="s">
        <v>702</v>
      </c>
      <c r="X171" s="21">
        <v>1</v>
      </c>
      <c r="Y171" s="22"/>
      <c r="Z171" s="22"/>
      <c r="AA171" s="22"/>
      <c r="AB171" s="22"/>
      <c r="AC171" s="22" t="s">
        <v>703</v>
      </c>
    </row>
    <row r="172" spans="1:29" s="26" customFormat="1" ht="17.100000000000001" thickBot="1">
      <c r="A172" s="71"/>
      <c r="B172" s="71"/>
      <c r="C172" s="71"/>
      <c r="D172" s="162" t="s">
        <v>704</v>
      </c>
      <c r="G172" s="27"/>
      <c r="H172" s="26" t="s">
        <v>421</v>
      </c>
      <c r="I172" s="27" t="s">
        <v>705</v>
      </c>
      <c r="J172" s="26" t="s">
        <v>277</v>
      </c>
      <c r="K172" s="55"/>
      <c r="L172" s="144"/>
      <c r="M172" s="144"/>
      <c r="N172" s="86"/>
      <c r="O172" s="86"/>
      <c r="P172" s="86"/>
      <c r="Q172" s="86"/>
      <c r="S172" s="27"/>
      <c r="T172" s="26" t="s">
        <v>613</v>
      </c>
      <c r="U172" s="27" t="s">
        <v>706</v>
      </c>
      <c r="V172" s="27" t="s">
        <v>707</v>
      </c>
      <c r="W172" s="26">
        <v>8</v>
      </c>
      <c r="X172" s="26">
        <v>1</v>
      </c>
      <c r="Y172" s="27" t="s">
        <v>708</v>
      </c>
      <c r="Z172" s="27"/>
      <c r="AA172" s="27"/>
      <c r="AB172" s="27"/>
      <c r="AC172" s="42"/>
    </row>
    <row r="173" spans="1:29" s="49" customFormat="1" ht="15.95" thickBot="1">
      <c r="A173" s="71"/>
      <c r="B173" s="71"/>
      <c r="C173" s="71"/>
      <c r="D173" s="163"/>
      <c r="E173" s="49" t="s">
        <v>709</v>
      </c>
      <c r="G173" s="66"/>
      <c r="H173" s="49" t="s">
        <v>421</v>
      </c>
      <c r="J173" s="49" t="s">
        <v>204</v>
      </c>
      <c r="K173" s="67"/>
      <c r="L173" s="172"/>
      <c r="M173" s="172"/>
      <c r="N173" s="87"/>
      <c r="O173" s="87"/>
      <c r="P173" s="87"/>
      <c r="Q173" s="87"/>
      <c r="S173" s="66"/>
      <c r="T173" s="49" t="s">
        <v>208</v>
      </c>
      <c r="U173" s="66" t="s">
        <v>553</v>
      </c>
      <c r="V173" s="66" t="s">
        <v>710</v>
      </c>
      <c r="W173" s="49">
        <v>8</v>
      </c>
      <c r="Y173" s="66" t="s">
        <v>555</v>
      </c>
      <c r="Z173" s="66"/>
      <c r="AA173" s="66"/>
      <c r="AB173" s="66"/>
      <c r="AC173" s="68"/>
    </row>
    <row r="174" spans="1:29" s="34" customFormat="1" ht="17.100000000000001" thickBot="1">
      <c r="A174" s="71"/>
      <c r="B174" s="71"/>
      <c r="C174" s="71"/>
      <c r="D174" s="35" t="s">
        <v>711</v>
      </c>
      <c r="G174" s="140"/>
      <c r="K174" s="141"/>
      <c r="L174" s="64"/>
      <c r="M174" s="64"/>
      <c r="N174" s="83"/>
      <c r="O174" s="83"/>
      <c r="P174" s="83"/>
      <c r="Q174" s="83"/>
      <c r="S174" s="36"/>
      <c r="T174" s="49"/>
      <c r="U174" s="36"/>
      <c r="V174" s="36"/>
      <c r="Y174" s="36"/>
      <c r="Z174" s="36"/>
      <c r="AA174" s="36"/>
      <c r="AB174" s="36"/>
      <c r="AC174" s="36"/>
    </row>
    <row r="175" spans="1:29" s="72" customFormat="1" ht="17.100000000000001" thickBot="1">
      <c r="A175" s="71"/>
      <c r="B175" s="71"/>
      <c r="C175" s="71"/>
      <c r="D175" s="127" t="s">
        <v>712</v>
      </c>
      <c r="F175" s="72" t="s">
        <v>713</v>
      </c>
      <c r="G175" s="137"/>
      <c r="I175" s="94"/>
      <c r="K175" s="138"/>
      <c r="L175" s="130"/>
      <c r="M175" s="130"/>
      <c r="N175" s="129"/>
      <c r="O175" s="129"/>
      <c r="P175" s="129"/>
      <c r="Q175" s="129"/>
      <c r="S175" s="94"/>
      <c r="T175" s="95"/>
      <c r="U175" s="94"/>
      <c r="V175" s="94"/>
      <c r="Y175" s="94"/>
      <c r="Z175" s="94"/>
      <c r="AA175" s="94"/>
      <c r="AB175" s="94"/>
      <c r="AC175" s="94"/>
    </row>
    <row r="176" spans="1:29" s="26" customFormat="1" ht="15.95" thickBot="1">
      <c r="A176" s="71"/>
      <c r="B176" s="71"/>
      <c r="C176" s="71"/>
      <c r="D176" s="162"/>
      <c r="G176" s="27"/>
      <c r="H176" s="26" t="s">
        <v>421</v>
      </c>
      <c r="I176" s="26" t="s">
        <v>714</v>
      </c>
      <c r="J176" s="26" t="s">
        <v>277</v>
      </c>
      <c r="K176" s="55" t="s">
        <v>715</v>
      </c>
      <c r="L176" s="144"/>
      <c r="M176" s="144"/>
      <c r="N176" s="86"/>
      <c r="O176" s="86"/>
      <c r="P176" s="86"/>
      <c r="Q176" s="86"/>
      <c r="S176" s="27"/>
      <c r="T176" s="26" t="s">
        <v>208</v>
      </c>
      <c r="U176" s="27" t="s">
        <v>716</v>
      </c>
      <c r="V176" s="27" t="s">
        <v>717</v>
      </c>
      <c r="X176" s="26">
        <v>1</v>
      </c>
      <c r="Y176" s="27"/>
      <c r="Z176" s="27"/>
      <c r="AA176" s="27"/>
      <c r="AB176" s="27"/>
      <c r="AC176" s="42"/>
    </row>
    <row r="177" spans="1:29" s="34" customFormat="1" ht="17.100000000000001" thickBot="1">
      <c r="A177" s="71"/>
      <c r="B177" s="71"/>
      <c r="C177" s="71"/>
      <c r="D177" s="35" t="s">
        <v>718</v>
      </c>
      <c r="F177" s="34">
        <v>5476</v>
      </c>
      <c r="G177" s="140" t="s">
        <v>719</v>
      </c>
      <c r="K177" s="141"/>
      <c r="L177" s="64"/>
      <c r="M177" s="64"/>
      <c r="N177" s="83"/>
      <c r="O177" s="83"/>
      <c r="P177" s="83"/>
      <c r="Q177" s="83"/>
      <c r="S177" s="36" t="s">
        <v>720</v>
      </c>
      <c r="T177" s="34" t="s">
        <v>208</v>
      </c>
      <c r="U177" s="36"/>
      <c r="V177" s="36"/>
      <c r="Y177" s="36"/>
      <c r="Z177" s="36"/>
      <c r="AA177" s="36"/>
      <c r="AB177" s="36"/>
      <c r="AC177" s="36"/>
    </row>
    <row r="178" spans="1:29" s="26" customFormat="1" ht="17.100000000000001" thickBot="1">
      <c r="A178" s="71"/>
      <c r="B178" s="71"/>
      <c r="C178" s="71"/>
      <c r="D178" s="162" t="s">
        <v>721</v>
      </c>
      <c r="G178" s="27"/>
      <c r="H178" s="26" t="s">
        <v>421</v>
      </c>
      <c r="I178" s="26" t="s">
        <v>722</v>
      </c>
      <c r="J178" s="26" t="s">
        <v>277</v>
      </c>
      <c r="K178" s="55"/>
      <c r="L178" s="144"/>
      <c r="M178" s="144"/>
      <c r="N178" s="86"/>
      <c r="O178" s="86"/>
      <c r="P178" s="86"/>
      <c r="Q178" s="86"/>
      <c r="S178" s="27"/>
      <c r="T178" s="26" t="s">
        <v>613</v>
      </c>
      <c r="U178" s="27" t="s">
        <v>723</v>
      </c>
      <c r="V178" s="27" t="s">
        <v>724</v>
      </c>
      <c r="W178" s="26">
        <v>4</v>
      </c>
      <c r="X178" s="26">
        <v>1</v>
      </c>
      <c r="Y178" s="27" t="s">
        <v>725</v>
      </c>
      <c r="Z178" s="27"/>
      <c r="AA178" s="27"/>
      <c r="AB178" s="27"/>
      <c r="AC178" s="27" t="s">
        <v>726</v>
      </c>
    </row>
    <row r="179" spans="1:29" s="73" customFormat="1" ht="17.100000000000001" thickBot="1">
      <c r="A179" s="71"/>
      <c r="B179" s="71"/>
      <c r="C179" s="71"/>
      <c r="D179" s="158" t="s">
        <v>727</v>
      </c>
      <c r="G179" s="107"/>
      <c r="H179" s="73" t="s">
        <v>421</v>
      </c>
      <c r="I179" s="73" t="s">
        <v>722</v>
      </c>
      <c r="J179" s="73" t="s">
        <v>277</v>
      </c>
      <c r="K179" s="131"/>
      <c r="L179" s="132"/>
      <c r="M179" s="132"/>
      <c r="N179" s="133"/>
      <c r="O179" s="133"/>
      <c r="P179" s="133"/>
      <c r="Q179" s="133"/>
      <c r="S179" s="107"/>
      <c r="T179" s="73" t="s">
        <v>613</v>
      </c>
      <c r="U179" s="107" t="s">
        <v>723</v>
      </c>
      <c r="V179" s="107" t="s">
        <v>724</v>
      </c>
      <c r="W179" s="73">
        <v>4</v>
      </c>
      <c r="X179" s="73">
        <v>1</v>
      </c>
      <c r="Y179" s="107" t="s">
        <v>725</v>
      </c>
      <c r="Z179" s="107"/>
      <c r="AA179" s="107"/>
      <c r="AB179" s="107"/>
      <c r="AC179" s="107"/>
    </row>
    <row r="180" spans="1:29" s="26" customFormat="1" ht="17.100000000000001" thickBot="1">
      <c r="A180" s="71"/>
      <c r="B180" s="71"/>
      <c r="C180" s="71"/>
      <c r="D180" s="162" t="s">
        <v>728</v>
      </c>
      <c r="G180" s="27"/>
      <c r="H180" s="26" t="s">
        <v>421</v>
      </c>
      <c r="I180" s="26" t="s">
        <v>729</v>
      </c>
      <c r="J180" s="26" t="s">
        <v>277</v>
      </c>
      <c r="K180" s="55" t="s">
        <v>730</v>
      </c>
      <c r="L180" s="144"/>
      <c r="M180" s="144"/>
      <c r="N180" s="86"/>
      <c r="O180" s="86"/>
      <c r="P180" s="86"/>
      <c r="Q180" s="86"/>
      <c r="S180" s="27" t="s">
        <v>731</v>
      </c>
      <c r="T180" s="26" t="s">
        <v>208</v>
      </c>
      <c r="U180" s="27" t="s">
        <v>732</v>
      </c>
      <c r="V180" s="27" t="s">
        <v>733</v>
      </c>
      <c r="W180" s="26">
        <v>4</v>
      </c>
      <c r="X180" s="26">
        <v>1</v>
      </c>
      <c r="Y180" s="27" t="s">
        <v>734</v>
      </c>
      <c r="Z180" s="27"/>
      <c r="AA180" s="27"/>
      <c r="AB180" s="27"/>
      <c r="AC180" s="27"/>
    </row>
    <row r="181" spans="1:29" s="73" customFormat="1" ht="15.95">
      <c r="A181" s="71"/>
      <c r="B181" s="71"/>
      <c r="C181" s="242"/>
      <c r="D181" s="158" t="s">
        <v>735</v>
      </c>
      <c r="G181" s="107"/>
      <c r="H181" s="73" t="s">
        <v>421</v>
      </c>
      <c r="I181" s="73" t="s">
        <v>736</v>
      </c>
      <c r="J181" s="73" t="s">
        <v>277</v>
      </c>
      <c r="K181" s="131" t="s">
        <v>737</v>
      </c>
      <c r="L181" s="132"/>
      <c r="M181" s="132"/>
      <c r="N181" s="133"/>
      <c r="O181" s="133"/>
      <c r="P181" s="133"/>
      <c r="Q181" s="133"/>
      <c r="S181" s="107"/>
      <c r="T181" s="73" t="s">
        <v>208</v>
      </c>
      <c r="U181" s="107" t="s">
        <v>738</v>
      </c>
      <c r="V181" s="107" t="s">
        <v>739</v>
      </c>
      <c r="W181" s="73">
        <v>2</v>
      </c>
      <c r="Y181" s="107"/>
      <c r="Z181" s="107"/>
      <c r="AA181" s="107"/>
      <c r="AB181" s="107"/>
      <c r="AC181" s="107"/>
    </row>
    <row r="182" spans="1:29" s="73" customFormat="1" ht="15.95" thickBot="1">
      <c r="A182" s="71"/>
      <c r="B182" s="71"/>
      <c r="C182" s="242"/>
      <c r="D182" s="158"/>
      <c r="G182" s="107"/>
      <c r="J182" s="73" t="s">
        <v>277</v>
      </c>
      <c r="K182" s="131"/>
      <c r="L182" s="132"/>
      <c r="M182" s="132"/>
      <c r="N182" s="133"/>
      <c r="O182" s="133"/>
      <c r="P182" s="133"/>
      <c r="Q182" s="133"/>
      <c r="S182" s="107"/>
      <c r="T182" s="95"/>
      <c r="U182" s="107" t="s">
        <v>740</v>
      </c>
      <c r="V182" s="107" t="s">
        <v>741</v>
      </c>
      <c r="W182" s="73">
        <v>4</v>
      </c>
      <c r="X182" s="73">
        <v>2</v>
      </c>
      <c r="Y182" s="107" t="s">
        <v>742</v>
      </c>
      <c r="Z182" s="107"/>
      <c r="AA182" s="107"/>
      <c r="AB182" s="107"/>
      <c r="AC182" s="118" t="s">
        <v>743</v>
      </c>
    </row>
    <row r="183" spans="1:29" s="26" customFormat="1" ht="15.95" thickBot="1">
      <c r="A183" s="71"/>
      <c r="B183" s="71"/>
      <c r="C183" s="71"/>
      <c r="D183" s="162"/>
      <c r="G183" s="27"/>
      <c r="H183" s="26" t="s">
        <v>421</v>
      </c>
      <c r="I183" s="26" t="s">
        <v>744</v>
      </c>
      <c r="J183" s="26" t="s">
        <v>277</v>
      </c>
      <c r="K183" s="55"/>
      <c r="L183" s="144"/>
      <c r="M183" s="144"/>
      <c r="N183" s="86"/>
      <c r="O183" s="86"/>
      <c r="P183" s="86"/>
      <c r="Q183" s="86"/>
      <c r="S183" s="27"/>
      <c r="T183" s="26" t="s">
        <v>208</v>
      </c>
      <c r="U183" s="27" t="s">
        <v>745</v>
      </c>
      <c r="V183" s="27" t="s">
        <v>746</v>
      </c>
      <c r="W183" s="26">
        <v>13</v>
      </c>
      <c r="X183" s="26">
        <v>2</v>
      </c>
      <c r="Y183" s="27" t="s">
        <v>747</v>
      </c>
      <c r="Z183" s="27"/>
      <c r="AA183" s="27"/>
      <c r="AB183" s="27"/>
      <c r="AC183" s="42"/>
    </row>
    <row r="184" spans="1:29" s="73" customFormat="1" ht="15.95" thickBot="1">
      <c r="A184" s="71"/>
      <c r="B184" s="71"/>
      <c r="C184" s="71"/>
      <c r="D184" s="158"/>
      <c r="G184" s="107"/>
      <c r="H184" s="73" t="s">
        <v>421</v>
      </c>
      <c r="I184" s="73" t="s">
        <v>748</v>
      </c>
      <c r="J184" s="73" t="s">
        <v>277</v>
      </c>
      <c r="K184" s="131"/>
      <c r="L184" s="132"/>
      <c r="M184" s="132"/>
      <c r="N184" s="133"/>
      <c r="O184" s="133"/>
      <c r="P184" s="133"/>
      <c r="Q184" s="133"/>
      <c r="S184" s="107"/>
      <c r="T184" s="95"/>
      <c r="U184" s="107" t="s">
        <v>749</v>
      </c>
      <c r="V184" s="107" t="s">
        <v>750</v>
      </c>
      <c r="W184" s="73">
        <v>10</v>
      </c>
      <c r="X184" s="73">
        <v>1</v>
      </c>
      <c r="Y184" s="107" t="s">
        <v>751</v>
      </c>
      <c r="Z184" s="107"/>
      <c r="AA184" s="107"/>
      <c r="AB184" s="107"/>
      <c r="AC184" s="118"/>
    </row>
    <row r="185" spans="1:29" s="26" customFormat="1" ht="15.95" thickBot="1">
      <c r="A185" s="71"/>
      <c r="B185" s="71"/>
      <c r="C185" s="71"/>
      <c r="D185" s="162"/>
      <c r="G185" s="27"/>
      <c r="J185" s="26" t="s">
        <v>277</v>
      </c>
      <c r="K185" s="55"/>
      <c r="L185" s="144"/>
      <c r="M185" s="144"/>
      <c r="N185" s="86"/>
      <c r="O185" s="86"/>
      <c r="P185" s="86"/>
      <c r="Q185" s="86"/>
      <c r="S185" s="27"/>
      <c r="T185" s="49"/>
      <c r="U185" s="27" t="s">
        <v>752</v>
      </c>
      <c r="V185" s="27" t="s">
        <v>753</v>
      </c>
      <c r="W185" s="26">
        <v>5</v>
      </c>
      <c r="X185" s="26">
        <v>0</v>
      </c>
      <c r="Y185" s="27"/>
      <c r="Z185" s="27"/>
      <c r="AA185" s="27"/>
      <c r="AB185" s="27"/>
      <c r="AC185" s="42"/>
    </row>
    <row r="186" spans="1:29" s="73" customFormat="1" ht="15.95" thickBot="1">
      <c r="A186" s="71"/>
      <c r="B186" s="71"/>
      <c r="C186" s="71"/>
      <c r="D186" s="158"/>
      <c r="G186" s="107"/>
      <c r="I186" s="73" t="s">
        <v>748</v>
      </c>
      <c r="J186" s="73" t="s">
        <v>277</v>
      </c>
      <c r="K186" s="131"/>
      <c r="L186" s="132"/>
      <c r="M186" s="132"/>
      <c r="N186" s="133"/>
      <c r="O186" s="133"/>
      <c r="P186" s="133"/>
      <c r="Q186" s="133"/>
      <c r="S186" s="107"/>
      <c r="T186" s="95"/>
      <c r="U186" s="107" t="s">
        <v>754</v>
      </c>
      <c r="V186" s="107" t="s">
        <v>755</v>
      </c>
      <c r="X186" s="73">
        <v>1</v>
      </c>
      <c r="Y186" s="107"/>
      <c r="Z186" s="107"/>
      <c r="AA186" s="107"/>
      <c r="AB186" s="107"/>
      <c r="AC186" s="107"/>
    </row>
    <row r="187" spans="1:29" s="26" customFormat="1" ht="15.95" thickBot="1">
      <c r="A187" s="71"/>
      <c r="B187" s="71"/>
      <c r="C187" s="71"/>
      <c r="D187" s="162"/>
      <c r="G187" s="27"/>
      <c r="J187" s="26" t="s">
        <v>277</v>
      </c>
      <c r="K187" s="55"/>
      <c r="L187" s="144"/>
      <c r="M187" s="144"/>
      <c r="N187" s="86"/>
      <c r="O187" s="86"/>
      <c r="P187" s="86"/>
      <c r="Q187" s="86"/>
      <c r="S187" s="27"/>
      <c r="T187" s="49"/>
      <c r="U187" s="27" t="s">
        <v>756</v>
      </c>
      <c r="V187" s="27" t="s">
        <v>757</v>
      </c>
      <c r="W187" s="26">
        <v>9</v>
      </c>
      <c r="X187" s="26">
        <v>0</v>
      </c>
      <c r="Y187" s="27"/>
      <c r="Z187" s="27"/>
      <c r="AA187" s="27"/>
      <c r="AB187" s="27"/>
      <c r="AC187" s="27"/>
    </row>
    <row r="188" spans="1:29" s="73" customFormat="1" ht="15.95" thickBot="1">
      <c r="A188" s="71"/>
      <c r="B188" s="71"/>
      <c r="C188" s="71"/>
      <c r="D188" s="158"/>
      <c r="G188" s="107"/>
      <c r="J188" s="73" t="s">
        <v>277</v>
      </c>
      <c r="K188" s="131"/>
      <c r="L188" s="132"/>
      <c r="M188" s="132"/>
      <c r="N188" s="133"/>
      <c r="O188" s="133"/>
      <c r="P188" s="133"/>
      <c r="Q188" s="133"/>
      <c r="S188" s="107"/>
      <c r="T188" s="95"/>
      <c r="U188" s="107" t="s">
        <v>758</v>
      </c>
      <c r="V188" s="107" t="s">
        <v>759</v>
      </c>
      <c r="W188" s="73">
        <v>21</v>
      </c>
      <c r="X188" s="73">
        <v>0</v>
      </c>
      <c r="Y188" s="107" t="s">
        <v>760</v>
      </c>
      <c r="Z188" s="107"/>
      <c r="AA188" s="107"/>
      <c r="AB188" s="107"/>
      <c r="AC188" s="107"/>
    </row>
    <row r="189" spans="1:29" s="26" customFormat="1" ht="15.95" thickBot="1">
      <c r="A189" s="71"/>
      <c r="B189" s="71"/>
      <c r="C189" s="71"/>
      <c r="D189" s="162"/>
      <c r="G189" s="27"/>
      <c r="H189" s="26" t="s">
        <v>421</v>
      </c>
      <c r="I189" s="26" t="s">
        <v>748</v>
      </c>
      <c r="J189" s="26" t="s">
        <v>277</v>
      </c>
      <c r="K189" s="55"/>
      <c r="L189" s="144"/>
      <c r="M189" s="144"/>
      <c r="N189" s="86"/>
      <c r="O189" s="86"/>
      <c r="P189" s="86"/>
      <c r="Q189" s="86"/>
      <c r="S189" s="27"/>
      <c r="T189" s="26" t="s">
        <v>208</v>
      </c>
      <c r="U189" s="27" t="s">
        <v>761</v>
      </c>
      <c r="V189" s="27" t="s">
        <v>762</v>
      </c>
      <c r="X189" s="26">
        <v>1</v>
      </c>
      <c r="Y189" s="27"/>
      <c r="Z189" s="27"/>
      <c r="AA189" s="27"/>
      <c r="AB189" s="27"/>
      <c r="AC189" s="27"/>
    </row>
    <row r="190" spans="1:29" ht="17.100000000000001" thickBot="1">
      <c r="D190" s="75" t="s">
        <v>763</v>
      </c>
      <c r="E190" s="71" t="s">
        <v>589</v>
      </c>
      <c r="F190" s="113" t="s">
        <v>764</v>
      </c>
      <c r="G190" s="71" t="s">
        <v>216</v>
      </c>
      <c r="H190" s="71" t="s">
        <v>207</v>
      </c>
      <c r="I190" s="71" t="s">
        <v>217</v>
      </c>
      <c r="J190" s="135" t="s">
        <v>207</v>
      </c>
      <c r="K190" s="100" t="s">
        <v>207</v>
      </c>
      <c r="L190" s="100" t="s">
        <v>207</v>
      </c>
      <c r="M190" s="101" t="s">
        <v>207</v>
      </c>
      <c r="N190" s="101" t="s">
        <v>207</v>
      </c>
      <c r="O190" s="101" t="s">
        <v>207</v>
      </c>
      <c r="P190" s="101" t="s">
        <v>207</v>
      </c>
      <c r="Q190" s="71" t="s">
        <v>207</v>
      </c>
      <c r="R190" s="98" t="s">
        <v>207</v>
      </c>
      <c r="S190" s="95"/>
      <c r="T190" s="98"/>
      <c r="V190" s="71"/>
      <c r="X190" s="98"/>
      <c r="Z190" s="71"/>
      <c r="AA190" s="71"/>
      <c r="AB190" s="71"/>
      <c r="AC190" s="71"/>
    </row>
    <row r="191" spans="1:29" s="21" customFormat="1" ht="15.95" thickBot="1">
      <c r="A191" s="71"/>
      <c r="B191" s="71"/>
      <c r="C191" s="71"/>
      <c r="D191" s="24">
        <v>20092</v>
      </c>
      <c r="E191" s="21" t="s">
        <v>713</v>
      </c>
      <c r="F191" s="10" t="s">
        <v>119</v>
      </c>
      <c r="G191" s="21" t="s">
        <v>216</v>
      </c>
      <c r="H191" s="21" t="s">
        <v>207</v>
      </c>
      <c r="I191" s="21" t="s">
        <v>217</v>
      </c>
      <c r="J191" s="54" t="s">
        <v>207</v>
      </c>
      <c r="K191" s="63" t="s">
        <v>207</v>
      </c>
      <c r="L191" s="63" t="s">
        <v>207</v>
      </c>
      <c r="M191" s="79" t="s">
        <v>207</v>
      </c>
      <c r="N191" s="79" t="s">
        <v>207</v>
      </c>
      <c r="O191" s="79" t="s">
        <v>207</v>
      </c>
      <c r="P191" s="79" t="s">
        <v>207</v>
      </c>
      <c r="Q191" s="21" t="s">
        <v>207</v>
      </c>
      <c r="R191" s="22" t="s">
        <v>207</v>
      </c>
      <c r="S191" s="49"/>
      <c r="T191" s="22"/>
      <c r="U191" s="22"/>
      <c r="X191" s="22"/>
      <c r="Y191" s="22"/>
    </row>
    <row r="192" spans="1:29" ht="15.95">
      <c r="D192" s="75" t="s">
        <v>765</v>
      </c>
      <c r="E192" s="71" t="s">
        <v>396</v>
      </c>
      <c r="F192" s="113" t="s">
        <v>207</v>
      </c>
      <c r="G192" s="71" t="s">
        <v>216</v>
      </c>
      <c r="H192" s="71" t="s">
        <v>207</v>
      </c>
      <c r="I192" s="71" t="s">
        <v>217</v>
      </c>
      <c r="J192" s="135" t="s">
        <v>207</v>
      </c>
      <c r="K192" s="100" t="s">
        <v>207</v>
      </c>
      <c r="L192" s="100" t="s">
        <v>207</v>
      </c>
      <c r="M192" s="101" t="s">
        <v>207</v>
      </c>
      <c r="N192" s="101" t="s">
        <v>207</v>
      </c>
      <c r="O192" s="101" t="s">
        <v>207</v>
      </c>
      <c r="P192" s="101" t="s">
        <v>207</v>
      </c>
      <c r="Q192" s="71" t="s">
        <v>207</v>
      </c>
      <c r="R192" s="98" t="s">
        <v>207</v>
      </c>
      <c r="S192" s="95"/>
      <c r="T192" s="98"/>
      <c r="V192" s="71"/>
      <c r="X192" s="98"/>
      <c r="Z192" s="71"/>
      <c r="AA192" s="71"/>
      <c r="AB192" s="71"/>
      <c r="AC192" s="71"/>
    </row>
    <row r="193" spans="1:29" ht="15.95">
      <c r="D193" s="75" t="s">
        <v>766</v>
      </c>
      <c r="E193" s="71" t="s">
        <v>767</v>
      </c>
      <c r="F193" s="113" t="s">
        <v>768</v>
      </c>
      <c r="G193" s="71" t="s">
        <v>216</v>
      </c>
      <c r="H193" s="71" t="s">
        <v>207</v>
      </c>
      <c r="I193" s="71" t="s">
        <v>217</v>
      </c>
      <c r="J193" s="135" t="s">
        <v>207</v>
      </c>
      <c r="K193" s="100" t="s">
        <v>207</v>
      </c>
      <c r="L193" s="100" t="s">
        <v>207</v>
      </c>
      <c r="M193" s="101" t="s">
        <v>207</v>
      </c>
      <c r="N193" s="101" t="s">
        <v>207</v>
      </c>
      <c r="O193" s="101" t="s">
        <v>207</v>
      </c>
      <c r="P193" s="101" t="s">
        <v>207</v>
      </c>
      <c r="Q193" s="71" t="s">
        <v>207</v>
      </c>
      <c r="R193" s="98" t="s">
        <v>207</v>
      </c>
      <c r="S193" s="71" t="s">
        <v>769</v>
      </c>
      <c r="T193" s="98" t="s">
        <v>770</v>
      </c>
      <c r="V193" s="71"/>
      <c r="X193" s="98"/>
      <c r="Y193" s="98" t="s">
        <v>771</v>
      </c>
      <c r="Z193" s="71"/>
      <c r="AA193" s="71"/>
      <c r="AB193" s="71"/>
      <c r="AC193" s="71"/>
    </row>
    <row r="199" spans="1:29">
      <c r="K199" s="100"/>
      <c r="L199" s="101"/>
      <c r="M199" s="101"/>
      <c r="P199" s="71"/>
      <c r="Q199" s="98"/>
      <c r="T199" s="98"/>
      <c r="U199" s="71"/>
      <c r="V199" s="71"/>
      <c r="W199" s="98"/>
      <c r="X199" s="98"/>
      <c r="AB199" s="71"/>
      <c r="AC199" s="71"/>
    </row>
    <row r="200" spans="1:29" ht="15.95" thickBot="1">
      <c r="E200" s="71" t="s">
        <v>674</v>
      </c>
      <c r="H200" s="71" t="s">
        <v>216</v>
      </c>
      <c r="K200" s="100"/>
      <c r="L200" s="101"/>
      <c r="M200" s="101"/>
      <c r="P200" s="71"/>
      <c r="Q200" s="98"/>
      <c r="T200" s="98"/>
      <c r="U200" s="71"/>
      <c r="V200" s="71"/>
      <c r="W200" s="98"/>
      <c r="X200" s="98"/>
      <c r="Z200" s="98" t="s">
        <v>252</v>
      </c>
      <c r="AA200" s="98">
        <v>187.5</v>
      </c>
      <c r="AB200" s="71">
        <v>1.76</v>
      </c>
      <c r="AC200" s="71" t="s">
        <v>772</v>
      </c>
    </row>
    <row r="201" spans="1:29" s="197" customFormat="1" ht="17.100000000000001" thickTop="1" thickBot="1">
      <c r="A201" s="196" t="s">
        <v>773</v>
      </c>
      <c r="B201" s="197" t="s">
        <v>774</v>
      </c>
      <c r="C201" s="197" t="s">
        <v>775</v>
      </c>
      <c r="D201" s="197" t="s">
        <v>776</v>
      </c>
      <c r="E201" s="197" t="s">
        <v>777</v>
      </c>
      <c r="U201" s="197" t="s">
        <v>778</v>
      </c>
      <c r="V201" s="197" t="s">
        <v>190</v>
      </c>
      <c r="W201" s="198" t="s">
        <v>191</v>
      </c>
      <c r="X201" s="197" t="s">
        <v>192</v>
      </c>
      <c r="Y201" s="197" t="s">
        <v>193</v>
      </c>
    </row>
    <row r="202" spans="1:29" customFormat="1" ht="15.95" thickTop="1">
      <c r="A202" t="s">
        <v>779</v>
      </c>
      <c r="D202" t="s">
        <v>780</v>
      </c>
      <c r="M202" s="100"/>
      <c r="N202" s="101"/>
      <c r="O202" s="101"/>
      <c r="P202" s="101"/>
      <c r="Q202" s="101"/>
      <c r="R202" s="71"/>
      <c r="S202" s="98"/>
    </row>
    <row r="203" spans="1:29" customFormat="1">
      <c r="A203" t="s">
        <v>781</v>
      </c>
      <c r="D203" t="s">
        <v>780</v>
      </c>
      <c r="M203" s="100"/>
      <c r="N203" s="101"/>
      <c r="O203" s="101"/>
      <c r="P203" s="101"/>
      <c r="Q203" s="101"/>
      <c r="R203" s="71"/>
      <c r="S203" s="98"/>
    </row>
    <row r="204" spans="1:29" customFormat="1">
      <c r="A204" t="s">
        <v>782</v>
      </c>
      <c r="C204" t="s">
        <v>216</v>
      </c>
      <c r="M204" s="100"/>
      <c r="N204" s="101"/>
      <c r="O204" s="101"/>
      <c r="P204" s="101"/>
      <c r="Q204" s="101"/>
      <c r="R204" s="71"/>
      <c r="S204" s="98"/>
      <c r="Y204" t="s">
        <v>783</v>
      </c>
    </row>
    <row r="205" spans="1:29" customFormat="1">
      <c r="M205" s="100"/>
      <c r="N205" s="101"/>
      <c r="O205" s="101"/>
      <c r="P205" s="101"/>
      <c r="Q205" s="101"/>
      <c r="R205" s="71"/>
      <c r="S205" s="98"/>
    </row>
    <row r="206" spans="1:29" customFormat="1">
      <c r="A206" t="s">
        <v>784</v>
      </c>
      <c r="B206" t="s">
        <v>551</v>
      </c>
      <c r="C206" t="s">
        <v>486</v>
      </c>
      <c r="E206" t="s">
        <v>785</v>
      </c>
      <c r="M206" s="100"/>
      <c r="N206" s="101"/>
      <c r="O206" s="101"/>
      <c r="P206" s="101"/>
      <c r="Q206" s="101"/>
      <c r="R206" s="71"/>
      <c r="S206" s="98"/>
      <c r="U206" s="199">
        <v>44911</v>
      </c>
      <c r="V206" t="s">
        <v>252</v>
      </c>
      <c r="W206">
        <v>524.5</v>
      </c>
      <c r="X206">
        <v>1.87</v>
      </c>
      <c r="Y206" t="s">
        <v>786</v>
      </c>
    </row>
    <row r="207" spans="1:29" customFormat="1">
      <c r="A207" t="s">
        <v>787</v>
      </c>
      <c r="B207" t="s">
        <v>788</v>
      </c>
      <c r="C207" t="s">
        <v>492</v>
      </c>
      <c r="E207" t="s">
        <v>785</v>
      </c>
      <c r="M207" s="100"/>
      <c r="N207" s="101"/>
      <c r="O207" s="101"/>
      <c r="P207" s="101"/>
      <c r="Q207" s="101"/>
      <c r="R207" s="71"/>
      <c r="S207" s="98"/>
      <c r="U207" s="199">
        <v>44911</v>
      </c>
      <c r="V207" t="s">
        <v>252</v>
      </c>
      <c r="W207">
        <v>423.4</v>
      </c>
      <c r="X207">
        <v>1.76</v>
      </c>
      <c r="Y207" t="s">
        <v>789</v>
      </c>
    </row>
    <row r="208" spans="1:29" customFormat="1">
      <c r="A208" t="s">
        <v>790</v>
      </c>
      <c r="B208" t="s">
        <v>788</v>
      </c>
      <c r="C208" t="s">
        <v>486</v>
      </c>
      <c r="E208" t="s">
        <v>785</v>
      </c>
      <c r="M208" s="100"/>
      <c r="N208" s="101"/>
      <c r="O208" s="101"/>
      <c r="P208" s="101"/>
      <c r="Q208" s="101"/>
      <c r="R208" s="71"/>
      <c r="S208" s="98"/>
      <c r="U208" s="199">
        <v>44911</v>
      </c>
      <c r="V208" t="s">
        <v>252</v>
      </c>
      <c r="W208">
        <v>573.29999999999995</v>
      </c>
      <c r="X208">
        <v>1.82</v>
      </c>
      <c r="Y208" t="s">
        <v>791</v>
      </c>
    </row>
    <row r="209" spans="1:29" customFormat="1">
      <c r="A209" t="s">
        <v>792</v>
      </c>
      <c r="B209" t="s">
        <v>788</v>
      </c>
      <c r="C209" t="s">
        <v>492</v>
      </c>
      <c r="E209" t="s">
        <v>785</v>
      </c>
      <c r="M209" s="100"/>
      <c r="N209" s="101"/>
      <c r="O209" s="101"/>
      <c r="P209" s="101"/>
      <c r="Q209" s="101"/>
      <c r="R209" s="71"/>
      <c r="S209" s="98"/>
      <c r="U209" s="199">
        <v>44911</v>
      </c>
      <c r="V209" t="s">
        <v>252</v>
      </c>
      <c r="W209">
        <v>503.9</v>
      </c>
      <c r="X209">
        <v>1.66</v>
      </c>
      <c r="Y209" t="s">
        <v>793</v>
      </c>
    </row>
    <row r="210" spans="1:29" customFormat="1">
      <c r="A210" s="200" t="s">
        <v>498</v>
      </c>
      <c r="B210" s="200"/>
      <c r="C210" s="200" t="s">
        <v>486</v>
      </c>
      <c r="D210" s="200"/>
      <c r="E210" s="200" t="s">
        <v>785</v>
      </c>
      <c r="F210" s="200"/>
      <c r="G210" s="200"/>
      <c r="H210" s="200"/>
      <c r="I210" s="200"/>
      <c r="J210" s="200"/>
      <c r="K210" s="200"/>
      <c r="L210" s="200"/>
      <c r="M210" s="100"/>
      <c r="N210" s="101"/>
      <c r="O210" s="101"/>
      <c r="P210" s="101"/>
      <c r="Q210" s="101"/>
      <c r="R210" s="71"/>
      <c r="S210" s="98"/>
      <c r="U210" s="201">
        <v>44911</v>
      </c>
      <c r="V210" s="200" t="s">
        <v>252</v>
      </c>
      <c r="W210" s="200">
        <v>26</v>
      </c>
      <c r="X210" s="200">
        <v>1.28</v>
      </c>
      <c r="Y210" s="200" t="s">
        <v>499</v>
      </c>
    </row>
    <row r="211" spans="1:29" customFormat="1">
      <c r="A211" t="s">
        <v>794</v>
      </c>
      <c r="E211" t="s">
        <v>795</v>
      </c>
      <c r="M211" s="100"/>
      <c r="N211" s="101"/>
      <c r="O211" s="101"/>
      <c r="P211" s="101"/>
      <c r="Q211" s="101"/>
      <c r="R211" s="71"/>
      <c r="S211" s="98"/>
      <c r="U211" s="199">
        <v>45001</v>
      </c>
      <c r="V211" t="s">
        <v>252</v>
      </c>
      <c r="W211">
        <v>105.5</v>
      </c>
      <c r="X211">
        <v>1.38</v>
      </c>
      <c r="Y211" t="s">
        <v>687</v>
      </c>
    </row>
    <row r="212" spans="1:29">
      <c r="C212" s="75"/>
      <c r="D212" s="71"/>
      <c r="F212" s="98"/>
      <c r="G212" s="71"/>
      <c r="H212" s="98"/>
      <c r="I212" s="71"/>
      <c r="J212" s="98"/>
      <c r="K212" s="98"/>
      <c r="L212" s="98"/>
      <c r="M212" s="98"/>
      <c r="N212" s="98"/>
      <c r="O212" s="98"/>
      <c r="P212" s="71"/>
      <c r="Q212" s="71"/>
      <c r="S212" s="71"/>
      <c r="U212" s="71"/>
      <c r="V212" s="71"/>
      <c r="Y212" s="71"/>
      <c r="Z212" s="71"/>
      <c r="AA212" s="71"/>
      <c r="AB212" s="71"/>
      <c r="AC212" s="71"/>
    </row>
    <row r="213" spans="1:29">
      <c r="J213" s="98"/>
      <c r="K213" s="98"/>
      <c r="L213" s="71"/>
      <c r="M213" s="71"/>
      <c r="N213" s="98"/>
      <c r="O213" s="98"/>
      <c r="P213" s="98"/>
      <c r="Q213" s="98"/>
      <c r="R213" s="98"/>
      <c r="S213" s="71"/>
      <c r="U213" s="71"/>
      <c r="V213" s="71"/>
      <c r="Y213" s="71"/>
      <c r="Z213" s="71"/>
      <c r="AA213" s="71"/>
      <c r="AB213" s="71"/>
      <c r="AC213" s="71"/>
    </row>
    <row r="214" spans="1:29">
      <c r="J214" s="98"/>
      <c r="K214" s="98"/>
      <c r="L214" s="71"/>
      <c r="M214" s="71"/>
      <c r="N214" s="98"/>
      <c r="O214" s="98"/>
      <c r="P214" s="98"/>
      <c r="Q214" s="98"/>
      <c r="R214" s="98"/>
      <c r="S214" s="71"/>
      <c r="U214" s="71"/>
      <c r="V214" s="71"/>
      <c r="Y214" s="71"/>
      <c r="Z214" s="71"/>
      <c r="AA214" s="71"/>
      <c r="AB214" s="71"/>
      <c r="AC214" s="71"/>
    </row>
    <row r="215" spans="1:29">
      <c r="J215" s="101"/>
      <c r="K215" s="101"/>
      <c r="L215" s="101"/>
      <c r="M215" s="101"/>
      <c r="N215" s="71"/>
      <c r="O215" s="98"/>
      <c r="P215" s="71"/>
      <c r="Q215" s="98"/>
      <c r="R215" s="98"/>
      <c r="S215" s="71"/>
      <c r="W215" s="98"/>
      <c r="X215" s="98"/>
      <c r="Z215" s="71"/>
      <c r="AA215" s="71"/>
      <c r="AB215" s="71"/>
      <c r="AC215" s="71"/>
    </row>
  </sheetData>
  <mergeCells count="65">
    <mergeCell ref="C54:C55"/>
    <mergeCell ref="C47:C52"/>
    <mergeCell ref="C15:C31"/>
    <mergeCell ref="C41:C42"/>
    <mergeCell ref="C34:C40"/>
    <mergeCell ref="A5:A10"/>
    <mergeCell ref="C44:C45"/>
    <mergeCell ref="C32:C33"/>
    <mergeCell ref="C13:C14"/>
    <mergeCell ref="C11:C12"/>
    <mergeCell ref="C5:C10"/>
    <mergeCell ref="A64:A67"/>
    <mergeCell ref="A59:A63"/>
    <mergeCell ref="A15:A31"/>
    <mergeCell ref="A11:A12"/>
    <mergeCell ref="A13:A14"/>
    <mergeCell ref="A32:A33"/>
    <mergeCell ref="A56:A58"/>
    <mergeCell ref="A44:A46"/>
    <mergeCell ref="A54:A55"/>
    <mergeCell ref="A34:A36"/>
    <mergeCell ref="A41:A42"/>
    <mergeCell ref="A47:A52"/>
    <mergeCell ref="C74:C76"/>
    <mergeCell ref="C93:C94"/>
    <mergeCell ref="C77:C83"/>
    <mergeCell ref="A98:A100"/>
    <mergeCell ref="A70:A73"/>
    <mergeCell ref="A93:A94"/>
    <mergeCell ref="A95:A96"/>
    <mergeCell ref="A74:A76"/>
    <mergeCell ref="A84:A90"/>
    <mergeCell ref="A77:A79"/>
    <mergeCell ref="C56:C58"/>
    <mergeCell ref="E128:E129"/>
    <mergeCell ref="C122:C127"/>
    <mergeCell ref="C128:C129"/>
    <mergeCell ref="A128:A129"/>
    <mergeCell ref="A122:A127"/>
    <mergeCell ref="A118:A119"/>
    <mergeCell ref="A113:A114"/>
    <mergeCell ref="A108:A109"/>
    <mergeCell ref="C108:C109"/>
    <mergeCell ref="C84:C90"/>
    <mergeCell ref="C98:C100"/>
    <mergeCell ref="C59:C63"/>
    <mergeCell ref="C95:C96"/>
    <mergeCell ref="C64:C67"/>
    <mergeCell ref="C70:C73"/>
    <mergeCell ref="A145:A146"/>
    <mergeCell ref="A133:A144"/>
    <mergeCell ref="A130:A132"/>
    <mergeCell ref="C181:C182"/>
    <mergeCell ref="C113:C114"/>
    <mergeCell ref="C145:C146"/>
    <mergeCell ref="C133:C144"/>
    <mergeCell ref="C130:C132"/>
    <mergeCell ref="C118:C119"/>
    <mergeCell ref="T122:T127"/>
    <mergeCell ref="G162:G165"/>
    <mergeCell ref="T128:T129"/>
    <mergeCell ref="T21:T24"/>
    <mergeCell ref="T133:T144"/>
    <mergeCell ref="H122:H127"/>
    <mergeCell ref="J122:J12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Lab, Padiath</dc:creator>
  <cp:keywords/>
  <dc:description/>
  <cp:lastModifiedBy/>
  <cp:revision/>
  <dcterms:created xsi:type="dcterms:W3CDTF">2015-06-05T18:17:20Z</dcterms:created>
  <dcterms:modified xsi:type="dcterms:W3CDTF">2026-04-07T19:21:02Z</dcterms:modified>
  <cp:category/>
  <cp:contentStatus/>
</cp:coreProperties>
</file>